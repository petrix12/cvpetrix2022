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860"/>
  </bookViews>
  <sheets>
    <sheet name="Tiempos" sheetId="1" r:id="rId1"/>
    <sheet name="Resumen" sheetId="9" r:id="rId2"/>
    <sheet name="Tablas" sheetId="5" r:id="rId3"/>
    <sheet name="Avances" sheetId="2" r:id="rId4"/>
    <sheet name="Atajos VSC" sheetId="3" r:id="rId5"/>
    <sheet name="Ext VSC" sheetId="4" r:id="rId6"/>
    <sheet name="Laravel" sheetId="7" r:id="rId7"/>
    <sheet name="Vue.js" sheetId="8" r:id="rId8"/>
    <sheet name="Sheet1" sheetId="10" r:id="rId9"/>
    <sheet name="Cursos" sheetId="11" r:id="rId10"/>
    <sheet name="borrador" sheetId="12" r:id="rId11"/>
  </sheets>
  <definedNames>
    <definedName name="tecnologias">Tabla1[Tecnologías]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<sst xmlns="http://schemas.openxmlformats.org/spreadsheetml/2006/main" count="1098" uniqueCount="248">
  <si>
    <t>Fecha</t>
  </si>
  <si>
    <t>Tecnologías</t>
  </si>
  <si>
    <t>Total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</si>
  <si>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</si>
  <si>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</si>
  <si>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</si>
  <si>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</si>
  <si>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</si>
  <si>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</si>
  <si>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</si>
  <si>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</si>
  <si>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</si>
  <si>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</si>
  <si>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</si>
  <si>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</si>
  <si>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</si>
  <si>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</si>
  <si>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</si>
  <si>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Anho</t>
  </si>
  <si>
    <t>Infraestructura</t>
  </si>
  <si>
    <t>HTML</t>
  </si>
  <si>
    <t>Marketing</t>
  </si>
  <si>
    <t>General</t>
  </si>
  <si>
    <t>CSS</t>
  </si>
  <si>
    <t>Lógica</t>
  </si>
  <si>
    <t>Java</t>
  </si>
  <si>
    <t>Javascript</t>
  </si>
  <si>
    <t>Herramientas</t>
  </si>
  <si>
    <t>Node.js</t>
  </si>
  <si>
    <t>SQL</t>
  </si>
  <si>
    <t>GitHub</t>
  </si>
  <si>
    <t>Laravel</t>
  </si>
  <si>
    <t>SCRUM</t>
  </si>
  <si>
    <t>Vue.js</t>
  </si>
  <si>
    <t>React.js</t>
  </si>
  <si>
    <t>AWS</t>
  </si>
  <si>
    <t>Python</t>
  </si>
  <si>
    <t>API RESTful</t>
  </si>
  <si>
    <t>Markdown</t>
  </si>
  <si>
    <t>Excel</t>
  </si>
  <si>
    <t>Git</t>
  </si>
  <si>
    <t>Docker</t>
  </si>
  <si>
    <t>Angular</t>
  </si>
  <si>
    <t>Nuxt</t>
  </si>
  <si>
    <t>C++</t>
  </si>
  <si>
    <t xml:space="preserve"> </t>
  </si>
  <si>
    <t>Redis</t>
  </si>
  <si>
    <t>Arquitectura</t>
  </si>
  <si>
    <t>Blockchain</t>
  </si>
  <si>
    <t>SOLID</t>
  </si>
  <si>
    <t>PHP</t>
  </si>
  <si>
    <t>jQuery</t>
  </si>
  <si>
    <t>Postman</t>
  </si>
  <si>
    <t>PSeInt</t>
  </si>
  <si>
    <t>Assembler</t>
  </si>
  <si>
    <t>WebAssembly</t>
  </si>
  <si>
    <t>C</t>
  </si>
  <si>
    <t>COBOL</t>
  </si>
  <si>
    <t>Historia</t>
  </si>
  <si>
    <t>Symfony</t>
  </si>
  <si>
    <t>Mautic</t>
  </si>
  <si>
    <t>AI</t>
  </si>
  <si>
    <t>XML</t>
  </si>
  <si>
    <t>C#</t>
  </si>
  <si>
    <t>Bootstrap</t>
  </si>
  <si>
    <t>Web Scraping</t>
  </si>
  <si>
    <t>T. diario:</t>
  </si>
  <si>
    <t>Fecha Ini:</t>
  </si>
  <si>
    <t>Fecha Fin:</t>
  </si>
  <si>
    <t>Inicio:</t>
  </si>
  <si>
    <t>Fin:</t>
  </si>
  <si>
    <t>Mínutos meta:</t>
  </si>
  <si>
    <t>Minutos cumplidos:</t>
  </si>
  <si>
    <t>Avance:</t>
  </si>
  <si>
    <t>Horas</t>
  </si>
  <si>
    <t>Curso</t>
  </si>
  <si>
    <t>Curso Completo Laravel 11 [2024]</t>
  </si>
  <si>
    <t>URL</t>
  </si>
  <si>
    <t>https://www.youtube.com/playlist?list=PLd3a4dr8oUsAtdEXaR5XBQtspx7axkinm</t>
  </si>
  <si>
    <t>Sección</t>
  </si>
  <si>
    <t>Video</t>
  </si>
  <si>
    <t>Minuto</t>
  </si>
  <si>
    <t>Curso Profesional de Vue 3</t>
  </si>
  <si>
    <t>https://campus-ademass.com/curso/24</t>
  </si>
  <si>
    <t>X</t>
  </si>
  <si>
    <t>Curso de Laravel 11</t>
  </si>
  <si>
    <t>https://www.cursosdesarrolloweb.es/course/curso-laravel-11/visor</t>
  </si>
  <si>
    <t>Complementando el bootcamp de Laravel</t>
  </si>
  <si>
    <t>Item</t>
  </si>
  <si>
    <t>SQL: Consultas básicas a complejas</t>
  </si>
  <si>
    <t>https://www.udemy.com/course/aprende-sql-desde-cero-curso-con-mas-de-100-ejercicios</t>
  </si>
  <si>
    <t>Aprende SQL desde cero: ¡Curso con mas de 50 ejercicios! 1</t>
  </si>
  <si>
    <t>https://www.udemy.com/course/aprende-sql-desde-cero-curso-con-mas-de-50-ejercicios</t>
  </si>
  <si>
    <t>Aprende SQL desde cero: ¡Curso con mas de 50 ejercicios! 2</t>
  </si>
  <si>
    <t>https://www.udemy.com/course/aprende-sql-nivel-avanzado-curso-con-mas-de-50-ejercicios/</t>
  </si>
  <si>
    <t>Cursos de laravel 11</t>
  </si>
  <si>
    <t>https://www.youtube.com/playlist?list=PLbFjjy1sD3hr3ppWz9JndcXJErAQdpDHt</t>
  </si>
  <si>
    <t>DDD</t>
  </si>
  <si>
    <t>https://www.youtube.com/watch?v=SupUqrZW5C4</t>
  </si>
  <si>
    <t>https://www.youtube.com/watch?v=rSjCJGoH-GQ</t>
  </si>
  <si>
    <t>Atajos VSC</t>
  </si>
  <si>
    <t>Crear estructura Documento HTML</t>
  </si>
  <si>
    <t>!</t>
  </si>
  <si>
    <t>Crear estructura componente Vue</t>
  </si>
  <si>
    <t>vue</t>
  </si>
  <si>
    <t>Extensiones VSC</t>
  </si>
  <si>
    <t>GitHub Copilot (GitHub)</t>
  </si>
  <si>
    <t>Larabel Blade formatter</t>
  </si>
  <si>
    <t>Larabel Blade Snippets</t>
  </si>
  <si>
    <t>Laravel goto view</t>
  </si>
  <si>
    <t>Larabel Snippets</t>
  </si>
  <si>
    <t>PHP Intelephense (Ben Mewburn)</t>
  </si>
  <si>
    <t>Spanish Language Pack for Visual Studio (Microsoft)</t>
  </si>
  <si>
    <t>Tailwind CSS IntelliSense (Tailwind Labs)</t>
  </si>
  <si>
    <t>Alpine.js IntelliSense</t>
  </si>
  <si>
    <t>Vetur (Pine Wu)</t>
  </si>
  <si>
    <t>Comandos básicos</t>
  </si>
  <si>
    <t>Instalar el instalador de Laravel vía Composer</t>
  </si>
  <si>
    <t>composer global require "laravel/installer"</t>
  </si>
  <si>
    <t>Crear controlador:</t>
  </si>
  <si>
    <t>php artisan make:controller NombreController</t>
  </si>
  <si>
    <t>Nota: El nombre del controlador por convención, se recomienda escribirlo en singular.</t>
  </si>
  <si>
    <t>Crear migración:</t>
  </si>
  <si>
    <t>php artisan make:migration create_nombretabla_table</t>
  </si>
  <si>
    <t>Nota: escribri nombretabla en plural</t>
  </si>
  <si>
    <t>Agregar columna a una tabla:</t>
  </si>
  <si>
    <t>php artisan make:migration add_nombrecolumna_to_nombretabla_table</t>
  </si>
  <si>
    <t>Ejecutar migración</t>
  </si>
  <si>
    <t>php artisan migrate</t>
  </si>
  <si>
    <t>Revertir cambios de la última migración:</t>
  </si>
  <si>
    <t>php artisan migrate:rollback</t>
  </si>
  <si>
    <t>Destruir tablas e ejecutar migraciones:</t>
  </si>
  <si>
    <t>php artisan migrate:fresh</t>
  </si>
  <si>
    <t>php artisan migrate:refresh</t>
  </si>
  <si>
    <t>Crear un mailable:</t>
  </si>
  <si>
    <t>php artisan make:mail NombreMailable</t>
  </si>
  <si>
    <t>Crear un componente de clase:</t>
  </si>
  <si>
    <t>php artisan make:component Nombre</t>
  </si>
  <si>
    <t>Publicar los componentes de Jetstream</t>
  </si>
  <si>
    <t>php artisan vendor:publish --tag=jetstream-views</t>
  </si>
  <si>
    <t>Instalar Vue CLI</t>
  </si>
  <si>
    <t>Instalar node.js</t>
  </si>
  <si>
    <t>Ejecutar en una terminal como administrador:</t>
  </si>
  <si>
    <t>npm install -g @vue/cli</t>
  </si>
  <si>
    <t>Para habilitar la ejecución de macros, ejecutar:</t>
  </si>
  <si>
    <t>Set-ExecutionPolicy Unrestricted</t>
  </si>
  <si>
    <t>Crear proyecto Vue:</t>
  </si>
  <si>
    <t>vue create nombreProyecto</t>
  </si>
  <si>
    <t>Instalar Vue Router</t>
  </si>
  <si>
    <t>vue add router</t>
  </si>
  <si>
    <t>Instalar Vuex</t>
  </si>
  <si>
    <t>vue add vuex</t>
  </si>
  <si>
    <t>Laravel Value Objects</t>
  </si>
  <si>
    <t>Introducciónkeyboard_arrow_down</t>
  </si>
  <si>
    <t>Alquiler</t>
  </si>
  <si>
    <t>file_downloadProyecto finalN/D</t>
  </si>
  <si>
    <t>Internet y Luz</t>
  </si>
  <si>
    <t>play_circle_outline¿Qué vamos a hacer?6 minutos</t>
  </si>
  <si>
    <t>play_circle_outlineExplicación inicial2 minutos</t>
  </si>
  <si>
    <t>Contenido del cursokeyboard_arrow_down</t>
  </si>
  <si>
    <t>play_circle_outlineMigraciones y Seeders4 minutos</t>
  </si>
  <si>
    <t>play_circle_outlineEntendiendo los Value Objects5 minutos</t>
  </si>
  <si>
    <t>play_circle_outlineValue Object (clase abstracta)9 minutos</t>
  </si>
  <si>
    <t>play_circle_outlineValue Object Primitivo (Text)5 minutos</t>
  </si>
  <si>
    <t>play_circle_outlineProbando nuestro Value Object con Tinker5 minutos</t>
  </si>
  <si>
    <t>play_circle_outlineValue Object Primitivo (Number) + Tinker5 minutos</t>
  </si>
  <si>
    <t>play_circle_outlineValue Object Primitivo (Boolean) + Tinker6 minutos</t>
  </si>
  <si>
    <t>play_circle_outlineUtilizando Value Objects en los modelos Eloquent (Casts)6 minutos</t>
  </si>
  <si>
    <t>play_circle_outlineUtilizando Value Objects en Atributos Eloquent (FullName)11 minutos</t>
  </si>
  <si>
    <t>play_circle_outlineValue Object Email + Cast + Tinker7 minutos</t>
  </si>
  <si>
    <t>play_circle_outlineValue Object URL + Cast + Tinker7 minutos</t>
  </si>
  <si>
    <t>play_circle_outlineValue Object Phone + Cast + Tinker6 minutos</t>
  </si>
  <si>
    <t>play_circle_outlineValue Object Money + Cast + Tinker7 minutos</t>
  </si>
  <si>
    <t>play_circle_outlineValue Object File + Cast + Tinker10 minutos</t>
  </si>
  <si>
    <t>Arquitectura avanzada en Laravel con DDD para proyectos escalables</t>
  </si>
  <si>
    <t>play_circle_outline¿Qué vamos a hacer?14 minutos</t>
  </si>
  <si>
    <t>Preparando nuestro proyectokeyboard_arrow_down</t>
  </si>
  <si>
    <t>play_circle_outlineCrear proyecto con el stack Inertia y registrar namespace Domain4 minutos</t>
  </si>
  <si>
    <t>play_circle_outlineEstructura de directorios para aplicar DDD9 minutos</t>
  </si>
  <si>
    <t>play_circle_outlineCrear modelos Post, Category, Tag y pasar modelo User a Shared3 minutos</t>
  </si>
  <si>
    <t>play_circle_outlineMigraciones para Post, Category y Tag7 minutos</t>
  </si>
  <si>
    <t>play_circle_outlineFactories, Seeds, y configurar modelos12 minutos</t>
  </si>
  <si>
    <t>Shared Contextkeyboard_arrow_down</t>
  </si>
  <si>
    <t>play_circle_outlineCrear y aplicar GlobalScope para usuarios3 minutos</t>
  </si>
  <si>
    <t>play_circle_outlineEloquent Api Resource para User5 minutos</t>
  </si>
  <si>
    <t>play_circle_outlineClase abstracta en Shared Context para crear filtros que realicen búsquedas3 minutos</t>
  </si>
  <si>
    <t>play_circle_outlineReflectionClass para nuestro modelo de vista abstracto6 minutos</t>
  </si>
  <si>
    <t>Blog Contextkeyboard_arrow_down</t>
  </si>
  <si>
    <t>play_circle_outlineApi Resources para gestionar el Blog4 minutos</t>
  </si>
  <si>
    <t>play_circle_outlineGenerando los filtros del Blog a través de nuestra clase abstracta6 minutos</t>
  </si>
  <si>
    <t>play_circle_outlineEnum Filter, un enumerable con lógica para procesar los filtros5 minutos</t>
  </si>
  <si>
    <t>play_circle_outlineFormRequest para Posts3 minutos</t>
  </si>
  <si>
    <t>play_circle_outlineExtender la paginación de Laravel para generar enlaces en el cliente a demanda6 minutos</t>
  </si>
  <si>
    <t>play_circle_outlineModelo de vista para el listado de Posts completo11 minutos</t>
  </si>
  <si>
    <t>play_circle_outlineModelo de vista para el formulario de Posts6 minutos</t>
  </si>
  <si>
    <t>play_circle_outlineAcción para crear y actualizar Posts de forma centralizada8 minutos</t>
  </si>
  <si>
    <t>play_circle_outlinePostController con método Index para utilizar nuestro modelo de vista para el listado5 minutos</t>
  </si>
  <si>
    <t>play_circle_outlineComponentes Vue Badge y Post4 minutos</t>
  </si>
  <si>
    <t>play_circle_outlineComponente Vue Paginación6 minutos</t>
  </si>
  <si>
    <t>play_circle_outlinePágina Vue para listar posts con filtrado y paginación server side15 minutos</t>
  </si>
  <si>
    <t>play_circle_outlineOperaciones de CRUD en el PostController utilizando Actions y ViewModels5 minutos</t>
  </si>
  <si>
    <t>play_circle_outlinePágina formulario posts reutilizable para alta y edición7 minutos</t>
  </si>
  <si>
    <t>play_circle_outlineExportar el listado a Excel10 minutos</t>
  </si>
  <si>
    <t>Desarrolla un acortador de URL con Laravel</t>
  </si>
  <si>
    <t>play_circle_outline¿Qué vamos a hacer?3 minutos</t>
  </si>
  <si>
    <t>play_circle_outlineExplicación y crear proyecto3 minutos</t>
  </si>
  <si>
    <t>play_circle_outlineShared Domain y ajustar el modelo User4 minutos</t>
  </si>
  <si>
    <t>play_circle_outlineEstructura del dominio Shortener y seed + factory usuarios3 minutos</t>
  </si>
  <si>
    <t>play_circle_outlineMigración y modelo ShortUrl5 minutos</t>
  </si>
  <si>
    <t>play_circle_outlineEloquent Accessor ShortUrl3 minutos</t>
  </si>
  <si>
    <t>play_circle_outlineControlador ShortUrl, rutas y ajustar navegación6 minutos</t>
  </si>
  <si>
    <t>play_circle_outlineModelo de Vista y listado de URLs con formulario de alta6 minutos</t>
  </si>
  <si>
    <t>play_circle_outlineRegla de validación para verificar la URL ingresada2 minutos</t>
  </si>
  <si>
    <t>play_circle_outlineFormRequest para validar las URL3 minutos</t>
  </si>
  <si>
    <t>play_circle_outlineGenerar códigos alfanuméricos únicos3 minutos</t>
  </si>
  <si>
    <t>play_circle_outlineAcción para crear ShortUrl5 minutos</t>
  </si>
  <si>
    <t>play_circle_outlineEliminar ShortUrl2 minutos</t>
  </si>
  <si>
    <t>play_circle_outlineAcción para redireccionar y actualizar los Hits7 minutos</t>
  </si>
  <si>
    <t>play_circle_outlineProbando las URL con diferentes agentes de usuario6 minutos</t>
  </si>
  <si>
    <t>play_circle_outlineDespedida1 minutos</t>
  </si>
  <si>
    <t>Nombre</t>
  </si>
  <si>
    <t>Duración</t>
  </si>
  <si>
    <t>JavaScript Full- Curso desde Principiante hasta Profesional</t>
  </si>
  <si>
    <t>https://www.udemy.com/course/javascript-moderno-para-principiantes/?couponCode=ST21MT121624</t>
  </si>
  <si>
    <t>React: De cero a experto ( Hooks y MERN )</t>
  </si>
  <si>
    <t>https://www.udemy.com/course/react-cero-experto/</t>
  </si>
  <si>
    <t>Universidad JavaScript - De Cero a Experto JavaScript!</t>
  </si>
  <si>
    <t>https://www.udemy.com/course/universidad-javascript-angular-react-vue-typescript-html-css-bootstrap/?couponCode=ST21MT121624</t>
  </si>
  <si>
    <t>Curso básico de Angular - Empieza con este framework JS</t>
  </si>
  <si>
    <t>https://www.udemy.com/course/curso-basico-de-angular-11-empieza-con-este-framework-js/</t>
  </si>
  <si>
    <t>Universidad Desarrollo Web - FrontEnd Web Developer!</t>
  </si>
  <si>
    <t>https://www.udemy.com/course/universidad-desarrollo-web-moderno-html-css-javascript-html5-css3/?couponCode=ST21MT121624</t>
  </si>
  <si>
    <t>Universidad de Lógica de Programación - Aprende 7 Lenguajes!</t>
  </si>
  <si>
    <t>https://www.udemy.com/course/universidad-de-logica-de-programacion-python-java-javascript-c-pseint/?couponCode=ST21MT121624</t>
  </si>
  <si>
    <t>CRUD Angular - Node - MEAN</t>
  </si>
  <si>
    <t>https://www.udemy.com/course/crud-productos-stack-mean/</t>
  </si>
  <si>
    <t>Universidad Angular - Cero a Experto - Actualizado-Angular18</t>
  </si>
  <si>
    <t>https://www.udemy.com/course/angular-de-cero-a-experto-angular-2-framework-javascript-html-css/?couponCode=ST21MT121624</t>
  </si>
  <si>
    <t>Angular: Convierte cualquier template HTML en una WebAPP</t>
  </si>
  <si>
    <t>https://www.udemy.com/course/html-hacia-angular/</t>
  </si>
  <si>
    <t>Angular desde cero a experto: Crear una aplicación real</t>
  </si>
  <si>
    <t>https://www.udemy.com/course/angular-principiantes-leifer-mendez/?couponCode=ST21MT121624</t>
  </si>
  <si>
    <t>h</t>
  </si>
  <si>
    <t>s</t>
  </si>
  <si>
    <t>m</t>
  </si>
  <si>
    <t>a</t>
  </si>
  <si>
    <t>https://www.udemy.com/course/programador-web-php8-laravel-symfony-proyectos-reales-tareas/learn/lecture/27293144#questions</t>
  </si>
  <si>
    <t>Kevin García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</si>
</sst>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* #,##0.00\ &quot;€&quot;_-;\-* #,##0.00\ &quot;€&quot;_-;_-* \-??\ &quot;€&quot;_-;_-@_-"/>
    <numFmt numFmtId="177" formatCode="_-* #,##0\ &quot;€&quot;_-;\-* #,##0\ &quot;€&quot;_-;_-* &quot;-&quot;\ &quot;€&quot;_-;_-@_-"/>
    <numFmt numFmtId="178" formatCode="0.00_ "/>
    <numFmt numFmtId="179" formatCode="_-* #,##0.00\ _€_-;\-* #,##0.00\ _€_-;_-* &quot;-&quot;\ _€_-;_-@_-"/>
    <numFmt numFmtId="180" formatCode="_-* #,##0\ _€_-;\-* #,##0\ _€_-;_-* &quot;-&quot;\ _€_-;_-@_-"/>
  </numFmts>
  <fonts count="26">
    <font>
      <sz val="11"/>
      <color theme="1"/>
      <name val="Calibri"/>
      <charset val="134"/>
      <scheme val="minor"/>
    </font>
    <font>
      <u/>
      <sz val="11"/>
      <color theme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u/>
      <sz val="11"/>
      <color rgb="FF800080"/>
      <name val="Calibri"/>
      <charset val="134"/>
      <scheme val="minor"/>
    </font>
    <font>
      <b/>
      <sz val="11"/>
      <color theme="1"/>
      <name val="Calibri"/>
      <charset val="134"/>
    </font>
    <font>
      <sz val="9"/>
      <color theme="1"/>
      <name val="Calibri"/>
      <charset val="134"/>
      <scheme val="minor"/>
    </font>
    <font>
      <b/>
      <sz val="11"/>
      <color theme="1"/>
      <name val="Calibri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"/>
        <bgColor theme="4" tint="0.799981688894314"/>
      </patternFill>
    </fill>
    <fill>
      <patternFill patternType="solid">
        <fgColor rgb="FF00B050"/>
        <bgColor theme="4" tint="0.79998168889431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/>
      <bottom style="thin">
        <color theme="4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medium">
        <color rgb="FFDFE2E6"/>
      </left>
      <right style="medium">
        <color rgb="FFDFE2E6"/>
      </right>
      <top style="medium">
        <color rgb="FFDFE2E6"/>
      </top>
      <bottom style="medium">
        <color rgb="FFDFE2E6"/>
      </bottom>
      <diagonal/>
    </border>
    <border>
      <left/>
      <right/>
      <top/>
      <bottom style="medium">
        <color rgb="FFE9EDF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/>
    <xf numFmtId="0" fontId="8" fillId="0" borderId="0" applyNumberFormat="0" applyFill="0" applyBorder="0" applyAlignment="0" applyProtection="0">
      <alignment vertical="center"/>
    </xf>
    <xf numFmtId="0" fontId="0" fillId="5" borderId="1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2" applyNumberFormat="0" applyFill="0" applyAlignment="0" applyProtection="0">
      <alignment vertical="center"/>
    </xf>
    <xf numFmtId="0" fontId="13" fillId="0" borderId="12" applyNumberFormat="0" applyFill="0" applyAlignment="0" applyProtection="0">
      <alignment vertical="center"/>
    </xf>
    <xf numFmtId="0" fontId="14" fillId="0" borderId="1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7" borderId="15" applyNumberFormat="0" applyAlignment="0" applyProtection="0">
      <alignment vertical="center"/>
    </xf>
    <xf numFmtId="0" fontId="17" fillId="7" borderId="14" applyNumberFormat="0" applyAlignment="0" applyProtection="0">
      <alignment vertical="center"/>
    </xf>
    <xf numFmtId="0" fontId="18" fillId="8" borderId="16" applyNumberFormat="0" applyAlignment="0" applyProtection="0">
      <alignment vertical="center"/>
    </xf>
    <xf numFmtId="0" fontId="19" fillId="0" borderId="17" applyNumberFormat="0" applyFill="0" applyAlignment="0" applyProtection="0">
      <alignment vertical="center"/>
    </xf>
    <xf numFmtId="0" fontId="20" fillId="0" borderId="18" applyNumberFormat="0" applyFill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</cellStyleXfs>
  <cellXfs count="41">
    <xf numFmtId="0" fontId="0" fillId="0" borderId="0" xfId="0"/>
    <xf numFmtId="0" fontId="1" fillId="0" borderId="0" xfId="6"/>
    <xf numFmtId="0" fontId="2" fillId="0" borderId="0" xfId="0" applyFont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0" fontId="2" fillId="3" borderId="4" xfId="0" applyFont="1" applyFill="1" applyBorder="1"/>
    <xf numFmtId="46" fontId="0" fillId="0" borderId="0" xfId="0" applyNumberFormat="1" applyFont="1" applyFill="1" applyBorder="1"/>
    <xf numFmtId="0" fontId="0" fillId="0" borderId="5" xfId="6" applyFont="1" applyFill="1" applyBorder="1"/>
    <xf numFmtId="0" fontId="2" fillId="4" borderId="4" xfId="0" applyFont="1" applyFill="1" applyBorder="1"/>
    <xf numFmtId="0" fontId="2" fillId="3" borderId="6" xfId="0" applyFont="1" applyFill="1" applyBorder="1"/>
    <xf numFmtId="46" fontId="0" fillId="0" borderId="7" xfId="0" applyNumberFormat="1" applyFont="1" applyFill="1" applyBorder="1"/>
    <xf numFmtId="0" fontId="0" fillId="0" borderId="8" xfId="6" applyFont="1" applyFill="1" applyBorder="1"/>
    <xf numFmtId="0" fontId="1" fillId="0" borderId="9" xfId="6" applyBorder="1" applyAlignment="1">
      <alignment horizontal="left" vertical="center" wrapText="1"/>
    </xf>
    <xf numFmtId="0" fontId="1" fillId="0" borderId="10" xfId="6" applyBorder="1" applyAlignment="1">
      <alignment horizontal="left" vertical="center" wrapText="1"/>
    </xf>
    <xf numFmtId="0" fontId="1" fillId="0" borderId="0" xfId="6" applyAlignment="1">
      <alignment horizontal="left" vertical="center" wrapText="1"/>
    </xf>
    <xf numFmtId="0" fontId="0" fillId="0" borderId="0" xfId="0" applyAlignment="1">
      <alignment horizontal="left"/>
    </xf>
    <xf numFmtId="0" fontId="1" fillId="0" borderId="0" xfId="6" applyAlignment="1">
      <alignment horizontal="left"/>
    </xf>
    <xf numFmtId="0" fontId="0" fillId="0" borderId="0" xfId="0" applyAlignment="1">
      <alignment horizontal="right"/>
    </xf>
    <xf numFmtId="9" fontId="0" fillId="0" borderId="0" xfId="3" applyFont="1"/>
    <xf numFmtId="4" fontId="0" fillId="0" borderId="0" xfId="0" applyNumberFormat="1"/>
    <xf numFmtId="0" fontId="4" fillId="0" borderId="0" xfId="6" applyFont="1"/>
    <xf numFmtId="178" fontId="0" fillId="0" borderId="0" xfId="0" applyNumberFormat="1"/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179" fontId="0" fillId="0" borderId="0" xfId="0" applyNumberFormat="1" applyAlignment="1">
      <alignment horizontal="center"/>
    </xf>
    <xf numFmtId="58" fontId="0" fillId="0" borderId="0" xfId="0" applyNumberFormat="1" applyAlignment="1">
      <alignment horizontal="center"/>
    </xf>
    <xf numFmtId="58" fontId="0" fillId="0" borderId="0" xfId="0" applyNumberFormat="1"/>
    <xf numFmtId="179" fontId="0" fillId="0" borderId="0" xfId="0" applyNumberFormat="1"/>
    <xf numFmtId="1" fontId="0" fillId="0" borderId="0" xfId="0" applyNumberFormat="1"/>
    <xf numFmtId="180" fontId="5" fillId="0" borderId="0" xfId="0" applyNumberFormat="1" applyFont="1"/>
    <xf numFmtId="180" fontId="0" fillId="0" borderId="0" xfId="0" applyNumberFormat="1"/>
    <xf numFmtId="1" fontId="2" fillId="0" borderId="0" xfId="0" applyNumberFormat="1" applyFont="1"/>
    <xf numFmtId="2" fontId="2" fillId="0" borderId="0" xfId="0" applyNumberFormat="1" applyFont="1"/>
    <xf numFmtId="10" fontId="2" fillId="0" borderId="0" xfId="3" applyNumberFormat="1" applyFont="1"/>
    <xf numFmtId="58" fontId="2" fillId="0" borderId="0" xfId="0" applyNumberFormat="1" applyFont="1"/>
    <xf numFmtId="2" fontId="0" fillId="0" borderId="0" xfId="0" applyNumberFormat="1"/>
    <xf numFmtId="180" fontId="2" fillId="0" borderId="0" xfId="0" applyNumberFormat="1" applyFont="1"/>
    <xf numFmtId="1" fontId="0" fillId="0" borderId="0" xfId="0" applyNumberFormat="1" applyAlignment="1">
      <alignment horizontal="right"/>
    </xf>
    <xf numFmtId="0" fontId="6" fillId="0" borderId="0" xfId="0" applyFont="1"/>
    <xf numFmtId="180" fontId="7" fillId="0" borderId="0" xfId="0" applyNumberFormat="1" applyFont="1"/>
  </cellXfs>
  <cellStyles count="49">
    <cellStyle name="Normal" xfId="0" builtinId="0"/>
    <cellStyle name="Coma" xfId="1" builtinId="3"/>
    <cellStyle name="Moneda" xfId="2" builtinId="4"/>
    <cellStyle name="Porcentaje" xfId="3" builtinId="5"/>
    <cellStyle name="Coma [0]" xfId="4" builtinId="6"/>
    <cellStyle name="Moneda [0]" xfId="5" builtinId="7"/>
    <cellStyle name="Hipervínculo" xfId="6" builtinId="8"/>
    <cellStyle name="Hipervínculo visitado" xfId="7" builtinId="9"/>
    <cellStyle name="Nota" xfId="8" builtinId="10"/>
    <cellStyle name="Texto de advertencia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lida" xfId="17" builtinId="21"/>
    <cellStyle name="Cálculo" xfId="18" builtinId="22"/>
    <cellStyle name="Celda de comprobación" xfId="19" builtinId="23"/>
    <cellStyle name="Celda vinculada" xfId="20" builtinId="24"/>
    <cellStyle name="Total" xfId="21" builtinId="25"/>
    <cellStyle name="Correcto" xfId="22" builtinId="26"/>
    <cellStyle name="Incorrecto" xfId="23" builtinId="27"/>
    <cellStyle name="Neutro" xfId="24" builtinId="28"/>
    <cellStyle name="Énfasis1" xfId="25" builtinId="29"/>
    <cellStyle name="20% - Énfasis1" xfId="26" builtinId="30"/>
    <cellStyle name="40% - Énfasis1" xfId="27" builtinId="31"/>
    <cellStyle name="60% - Énfasis1" xfId="28" builtinId="32"/>
    <cellStyle name="Énfasis2" xfId="29" builtinId="33"/>
    <cellStyle name="20% - Énfasis2" xfId="30" builtinId="34"/>
    <cellStyle name="40% - Énfasis2" xfId="31" builtinId="35"/>
    <cellStyle name="60% - Énfasis2" xfId="32" builtinId="36"/>
    <cellStyle name="Énfasis3" xfId="33" builtinId="37"/>
    <cellStyle name="20% - Énfasis3" xfId="34" builtinId="38"/>
    <cellStyle name="40% - Énfasis3" xfId="35" builtinId="39"/>
    <cellStyle name="60% - Énfasis3" xfId="36" builtinId="40"/>
    <cellStyle name="Énfasis4" xfId="37" builtinId="41"/>
    <cellStyle name="20% - Énfasis4" xfId="38" builtinId="42"/>
    <cellStyle name="40% - Énfasis4" xfId="39" builtinId="43"/>
    <cellStyle name="60% - Énfasis4" xfId="40" builtinId="44"/>
    <cellStyle name="Énfasis5" xfId="41" builtinId="45"/>
    <cellStyle name="20% - Énfasis5" xfId="42" builtinId="46"/>
    <cellStyle name="40% - Énfasis5" xfId="43" builtinId="47"/>
    <cellStyle name="60% - Énfasis5" xfId="44" builtinId="48"/>
    <cellStyle name="Énfasis6" xfId="45" builtinId="49"/>
    <cellStyle name="20% - Énfasis6" xfId="46" builtinId="50"/>
    <cellStyle name="40% - Énfasis6" xfId="47" builtinId="51"/>
    <cellStyle name="60% - Énfasis6" xfId="48" builtinId="52"/>
  </cellStyles>
  <dxfs count="21">
    <dxf>
      <numFmt numFmtId="58" formatCode="dd/mm/yyyy"/>
    </dxf>
    <dxf>
      <numFmt numFmtId="58" formatCode="dd/mm/yyyy"/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80" formatCode="_-* #,##0\ _€_-;\-* #,##0\ _€_-;_-* &quot;-&quot;\ _€_-;_-@_-"/>
    </dxf>
    <dxf>
      <numFmt numFmtId="1" formatCode="0"/>
    </dxf>
    <dxf>
      <numFmt numFmtId="178" formatCode="0.00_ "/>
    </dxf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2" name="Tabla2" displayName="Tabla2" ref="A1:S801" totalsRowShown="0">
  <autoFilter xmlns:etc="http://www.wps.cn/officeDocument/2017/etCustomData" ref="A1:S801" etc:filterBottomFollowUsedRange="0">
    <filterColumn colId="18">
      <customFilters>
        <customFilter operator="equal" val="2025"/>
      </customFilters>
    </filterColumn>
  </autoFilter>
  <sortState ref="A1:S801">
    <sortCondition ref="A1"/>
  </sortState>
  <tableColumns count="19">
    <tableColumn id="1" name="Fecha" dataDxfId="0"/>
    <tableColumn id="2" name="Tecnologías" dataDxfId="1"/>
    <tableColumn id="3" name="Total" dataDxfId="2">
      <calculatedColumnFormula>SUM(D2:R2)</calculatedColumnFormula>
    </tableColumn>
    <tableColumn id="4" name="P1" dataDxfId="3"/>
    <tableColumn id="5" name="P2" dataDxfId="4"/>
    <tableColumn id="6" name="P3" dataDxfId="5"/>
    <tableColumn id="7" name="P4" dataDxfId="6"/>
    <tableColumn id="8" name="P5" dataDxfId="7"/>
    <tableColumn id="9" name="P6" dataDxfId="8"/>
    <tableColumn id="10" name="P7" dataDxfId="9"/>
    <tableColumn id="11" name="P8" dataDxfId="10"/>
    <tableColumn id="12" name="P9" dataDxfId="11"/>
    <tableColumn id="13" name="P10" dataDxfId="12"/>
    <tableColumn id="14" name="P11" dataDxfId="13"/>
    <tableColumn id="15" name="P12" dataDxfId="14"/>
    <tableColumn id="16" name="P13" dataDxfId="15"/>
    <tableColumn id="17" name="P14" dataDxfId="16"/>
    <tableColumn id="18" name="P15" dataDxfId="17"/>
    <tableColumn id="20" name="Anho" dataDxfId="18">
      <calculatedColumnFormula>YEAR(Tabla1[[#This Row],[Tecnologías]])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1" name="Tabla1" displayName="Tabla1" ref="A1:B47" totalsRowShown="0">
  <autoFilter xmlns:etc="http://www.wps.cn/officeDocument/2017/etCustomData" ref="A1:B47" etc:filterBottomFollowUsedRange="0"/>
  <sortState ref="A1:B47">
    <sortCondition ref="A1"/>
  </sortState>
  <tableColumns count="2">
    <tableColumn id="1" name="Tecnologías"/>
    <tableColumn id="2" name="Horas" dataDxfId="19">
      <calculatedColumnFormula>SUMIF(Tiempos!B:B,A2,Tiempos!C:C)/60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6" Type="http://schemas.openxmlformats.org/officeDocument/2006/relationships/hyperlink" Target="https://www.youtube.com/watch?v=rSjCJGoH-GQ" TargetMode="External"/><Relationship Id="rId5" Type="http://schemas.openxmlformats.org/officeDocument/2006/relationships/hyperlink" Target="https://www.youtube.com/watch?v=SupUqrZW5C4" TargetMode="External"/><Relationship Id="rId4" Type="http://schemas.openxmlformats.org/officeDocument/2006/relationships/hyperlink" Target="https://www.youtube.com/playlist?list=PLbFjjy1sD3hr3ppWz9JndcXJErAQdpDHt" TargetMode="External"/><Relationship Id="rId3" Type="http://schemas.openxmlformats.org/officeDocument/2006/relationships/hyperlink" Target="https://www.youtube.com/playlist?list=PLd3a4dr8oUsAtdEXaR5XBQtspx7axkinm" TargetMode="External"/><Relationship Id="rId2" Type="http://schemas.openxmlformats.org/officeDocument/2006/relationships/hyperlink" Target="https://www.cursosdesarrolloweb.es/course/curso-laravel-11/visor" TargetMode="External"/><Relationship Id="rId1" Type="http://schemas.openxmlformats.org/officeDocument/2006/relationships/hyperlink" Target="https://campus-ademass.com/curso/24" TargetMode="External"/></Relationships>
</file>

<file path=xl/worksheets/_rels/sheet9.xml.rels><?xml version="1.0" encoding="UTF-8" standalone="yes"?>
<Relationships xmlns="http://schemas.openxmlformats.org/package/2006/relationships"><Relationship Id="rId6" Type="http://schemas.openxmlformats.org/officeDocument/2006/relationships/hyperlink" Target="https://www.cursosdesarrolloweb.es/lecciones/desarrolla-un-acortador-de-url-con-laravel-que-vamos-a-hacer" TargetMode="External"/><Relationship Id="rId5" Type="http://schemas.openxmlformats.org/officeDocument/2006/relationships/hyperlink" Target="https://www.cursosdesarrolloweb.es/course/desarrolla-un-acortador-de-url-con-laravel" TargetMode="External"/><Relationship Id="rId4" Type="http://schemas.openxmlformats.org/officeDocument/2006/relationships/hyperlink" Target="https://www.cursosdesarrolloweb.es/lecciones/arquitectura-avanzada-en-laravel-con-ddd-para-proyectos-escalables-que-vamos-a-hacer" TargetMode="External"/><Relationship Id="rId3" Type="http://schemas.openxmlformats.org/officeDocument/2006/relationships/hyperlink" Target="https://www.cursosdesarrolloweb.es/course/arquitectura-avanzada-en-laravel-con-ddd-para-proyectos-escalables" TargetMode="External"/><Relationship Id="rId2" Type="http://schemas.openxmlformats.org/officeDocument/2006/relationships/hyperlink" Target="https://www.cursosdesarrolloweb.es/lecciones/laravel-value-objects-que-vamos-a-hacer" TargetMode="External"/><Relationship Id="rId1" Type="http://schemas.openxmlformats.org/officeDocument/2006/relationships/hyperlink" Target="https://www.cursosdesarrolloweb.es/course/laravel-value-objects" TargetMode="External"/></Relationships>
</file>

<file path=xl/worksheets/_rels/sheet10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udemy.com/course/html-hacia-angular/" TargetMode="External"/><Relationship Id="rId8" Type="http://schemas.openxmlformats.org/officeDocument/2006/relationships/hyperlink" Target="https://www.udemy.com/course/angular-de-cero-a-experto-angular-2-framework-javascript-html-css/?couponCode=ST21MT121624" TargetMode="External"/><Relationship Id="rId7" Type="http://schemas.openxmlformats.org/officeDocument/2006/relationships/hyperlink" Target="https://www.udemy.com/course/crud-productos-stack-mean/" TargetMode="External"/><Relationship Id="rId6" Type="http://schemas.openxmlformats.org/officeDocument/2006/relationships/hyperlink" Target="https://www.udemy.com/course/universidad-de-logica-de-programacion-python-java-javascript-c-pseint/?couponCode=ST21MT121624" TargetMode="External"/><Relationship Id="rId5" Type="http://schemas.openxmlformats.org/officeDocument/2006/relationships/hyperlink" Target="https://www.udemy.com/course/universidad-desarrollo-web-moderno-html-css-javascript-html5-css3/?couponCode=ST21MT121624" TargetMode="External"/><Relationship Id="rId4" Type="http://schemas.openxmlformats.org/officeDocument/2006/relationships/hyperlink" Target="https://www.udemy.com/course/curso-basico-de-angular-11-empieza-con-este-framework-js/" TargetMode="External"/><Relationship Id="rId3" Type="http://schemas.openxmlformats.org/officeDocument/2006/relationships/hyperlink" Target="https://www.udemy.com/course/universidad-javascript-angular-react-vue-typescript-html-css-bootstrap/?couponCode=ST21MT121624" TargetMode="External"/><Relationship Id="rId2" Type="http://schemas.openxmlformats.org/officeDocument/2006/relationships/hyperlink" Target="https://www.udemy.com/course/react-cero-experto/" TargetMode="External"/><Relationship Id="rId10" Type="http://schemas.openxmlformats.org/officeDocument/2006/relationships/hyperlink" Target="https://www.udemy.com/course/angular-principiantes-leifer-mendez/?couponCode=ST21MT121624" TargetMode="External"/><Relationship Id="rId1" Type="http://schemas.openxmlformats.org/officeDocument/2006/relationships/hyperlink" Target="https://www.udemy.com/course/javascript-moderno-para-principiantes/?couponCode=ST21MT1216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demy.com/course/programador-web-php8-laravel-symfony-proyectos-reales-tareas/learn/lecture/27293144#questio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Y801"/>
  <sheetViews>
    <sheetView tabSelected="1" workbookViewId="0">
      <pane xSplit="3" ySplit="1" topLeftCell="D775" activePane="bottomRight" state="frozen"/>
      <selection/>
      <selection pane="topRight"/>
      <selection pane="bottomLeft"/>
      <selection pane="bottomRight" activeCell="R802" sqref="R802"/>
    </sheetView>
  </sheetViews>
  <sheetFormatPr defaultColWidth="11.552380952381" defaultRowHeight="15"/>
  <cols>
    <col min="2" max="2" width="14" customWidth="1"/>
    <col min="3" max="3" width="11.552380952381" style="2"/>
    <col min="4" max="18" width="7.1047619047619" customWidth="1"/>
    <col min="19" max="19" width="11.552380952381" style="29"/>
    <col min="20" max="20" width="4.66666666666667" customWidth="1"/>
    <col min="21" max="21" width="7.66666666666667" customWidth="1"/>
    <col min="22" max="22" width="8.33333333333333" customWidth="1"/>
    <col min="23" max="23" width="10" customWidth="1"/>
  </cols>
  <sheetData>
    <row r="1" s="2" customFormat="1" spans="1:2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32" t="s">
        <v>18</v>
      </c>
      <c r="U1" s="2">
        <v>2025</v>
      </c>
      <c r="V1" s="33">
        <f>Resumen!H2</f>
        <v>34.201581027668</v>
      </c>
      <c r="W1" s="34">
        <f>Resumen!D11</f>
        <v>0.790228310502283</v>
      </c>
      <c r="X1" s="35">
        <f>Resumen!D7+Resumen!F10</f>
        <v>45946</v>
      </c>
    </row>
    <row r="2" hidden="1" spans="1:22">
      <c r="A2" s="27">
        <v>43967</v>
      </c>
      <c r="B2" s="27" t="s">
        <v>19</v>
      </c>
      <c r="C2" s="30">
        <f>SUM(D2:R2)</f>
        <v>6000</v>
      </c>
      <c r="D2" s="31">
        <v>6000</v>
      </c>
      <c r="E2" s="31"/>
      <c r="F2" s="31"/>
      <c r="G2" s="31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29">
        <f>YEAR(Tabla2[[#This Row],[Fecha]])</f>
        <v>2020</v>
      </c>
      <c r="V2" s="36"/>
    </row>
    <row r="3" hidden="1" spans="1:19">
      <c r="A3" s="27">
        <v>43976</v>
      </c>
      <c r="B3" s="27" t="s">
        <v>20</v>
      </c>
      <c r="C3" s="30">
        <f>SUM(D3:R3)</f>
        <v>2400</v>
      </c>
      <c r="D3" s="31">
        <v>2400</v>
      </c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29">
        <f>YEAR(Tabla2[[#This Row],[Fecha]])</f>
        <v>2020</v>
      </c>
    </row>
    <row r="4" hidden="1" spans="1:19">
      <c r="A4" s="27">
        <v>43981</v>
      </c>
      <c r="B4" s="27" t="s">
        <v>21</v>
      </c>
      <c r="C4" s="30">
        <f>SUM(D4:R4)</f>
        <v>2400</v>
      </c>
      <c r="D4" s="31">
        <v>2400</v>
      </c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  <c r="Q4" s="31"/>
      <c r="R4" s="31"/>
      <c r="S4" s="29">
        <f>YEAR(Tabla2[[#This Row],[Fecha]])</f>
        <v>2020</v>
      </c>
    </row>
    <row r="5" hidden="1" spans="1:19">
      <c r="A5" s="27">
        <v>43982</v>
      </c>
      <c r="B5" s="27" t="s">
        <v>22</v>
      </c>
      <c r="C5" s="30">
        <f>SUM(D5:R5)</f>
        <v>1440</v>
      </c>
      <c r="D5" s="31">
        <v>1440</v>
      </c>
      <c r="E5" s="31"/>
      <c r="F5" s="31"/>
      <c r="G5" s="31"/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29">
        <f>YEAR(Tabla2[[#This Row],[Fecha]])</f>
        <v>2020</v>
      </c>
    </row>
    <row r="6" hidden="1" spans="1:19">
      <c r="A6" s="27">
        <v>43983</v>
      </c>
      <c r="B6" s="27" t="s">
        <v>22</v>
      </c>
      <c r="C6" s="30">
        <f>SUM(D6:R6)</f>
        <v>2400</v>
      </c>
      <c r="D6" s="31">
        <v>2400</v>
      </c>
      <c r="E6" s="31"/>
      <c r="F6" s="31"/>
      <c r="G6" s="31"/>
      <c r="H6" s="31"/>
      <c r="I6" s="31"/>
      <c r="J6" s="31"/>
      <c r="K6" s="31"/>
      <c r="L6" s="31"/>
      <c r="M6" s="31"/>
      <c r="N6" s="31"/>
      <c r="O6" s="31"/>
      <c r="P6" s="31"/>
      <c r="Q6" s="31"/>
      <c r="R6" s="31"/>
      <c r="S6" s="29">
        <f>YEAR(Tabla2[[#This Row],[Fecha]])</f>
        <v>2020</v>
      </c>
    </row>
    <row r="7" hidden="1" spans="1:19">
      <c r="A7" s="27">
        <v>43987</v>
      </c>
      <c r="B7" s="27" t="s">
        <v>23</v>
      </c>
      <c r="C7" s="30">
        <f>SUM(D7:R7)</f>
        <v>2400</v>
      </c>
      <c r="D7" s="31">
        <v>2400</v>
      </c>
      <c r="E7" s="31"/>
      <c r="F7" s="31"/>
      <c r="G7" s="31"/>
      <c r="H7" s="31"/>
      <c r="I7" s="31"/>
      <c r="J7" s="31"/>
      <c r="K7" s="31"/>
      <c r="L7" s="31"/>
      <c r="M7" s="31"/>
      <c r="N7" s="31"/>
      <c r="O7" s="31"/>
      <c r="P7" s="31"/>
      <c r="Q7" s="31"/>
      <c r="R7" s="31"/>
      <c r="S7" s="29">
        <f>YEAR(Tabla2[[#This Row],[Fecha]])</f>
        <v>2020</v>
      </c>
    </row>
    <row r="8" hidden="1" spans="1:19">
      <c r="A8" s="27">
        <v>43993</v>
      </c>
      <c r="B8" s="27" t="s">
        <v>22</v>
      </c>
      <c r="C8" s="30">
        <f>SUM(D8:R8)</f>
        <v>2400</v>
      </c>
      <c r="D8" s="31">
        <v>2400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29">
        <f>YEAR(Tabla2[[#This Row],[Fecha]])</f>
        <v>2020</v>
      </c>
    </row>
    <row r="9" hidden="1" spans="1:19">
      <c r="A9" s="27">
        <v>43999</v>
      </c>
      <c r="B9" s="27" t="s">
        <v>24</v>
      </c>
      <c r="C9" s="30">
        <f>SUM(D9:R9)</f>
        <v>1920</v>
      </c>
      <c r="D9" s="31">
        <v>1920</v>
      </c>
      <c r="E9" s="31"/>
      <c r="F9" s="31"/>
      <c r="G9" s="31"/>
      <c r="H9" s="31"/>
      <c r="I9" s="31"/>
      <c r="J9" s="31"/>
      <c r="K9" s="31"/>
      <c r="L9" s="31"/>
      <c r="M9" s="31"/>
      <c r="N9" s="31"/>
      <c r="O9" s="31"/>
      <c r="P9" s="31"/>
      <c r="Q9" s="31"/>
      <c r="R9" s="31"/>
      <c r="S9" s="29">
        <f>YEAR(Tabla2[[#This Row],[Fecha]])</f>
        <v>2020</v>
      </c>
    </row>
    <row r="10" hidden="1" spans="1:19">
      <c r="A10" s="27">
        <v>44004</v>
      </c>
      <c r="B10" s="27" t="s">
        <v>22</v>
      </c>
      <c r="C10" s="30">
        <f>SUM(D10:R10)</f>
        <v>1920</v>
      </c>
      <c r="D10" s="31">
        <v>1920</v>
      </c>
      <c r="E10" s="31"/>
      <c r="F10" s="31"/>
      <c r="G10" s="31"/>
      <c r="H10" s="31"/>
      <c r="I10" s="31"/>
      <c r="J10" s="31"/>
      <c r="K10" s="31"/>
      <c r="L10" s="31"/>
      <c r="M10" s="31"/>
      <c r="N10" s="31"/>
      <c r="O10" s="31"/>
      <c r="P10" s="31"/>
      <c r="Q10" s="31"/>
      <c r="R10" s="31"/>
      <c r="S10" s="29">
        <f>YEAR(Tabla2[[#This Row],[Fecha]])</f>
        <v>2020</v>
      </c>
    </row>
    <row r="11" hidden="1" spans="1:19">
      <c r="A11" s="27">
        <v>44007</v>
      </c>
      <c r="B11" s="27" t="s">
        <v>22</v>
      </c>
      <c r="C11" s="30">
        <f>SUM(D11:R11)</f>
        <v>2400</v>
      </c>
      <c r="D11" s="31">
        <v>2400</v>
      </c>
      <c r="E11" s="31"/>
      <c r="F11" s="31"/>
      <c r="G11" s="31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29">
        <f>YEAR(Tabla2[[#This Row],[Fecha]])</f>
        <v>2020</v>
      </c>
    </row>
    <row r="12" hidden="1" spans="1:19">
      <c r="A12" s="27">
        <v>44009</v>
      </c>
      <c r="B12" s="27" t="s">
        <v>25</v>
      </c>
      <c r="C12" s="30">
        <f>SUM(D12:R12)</f>
        <v>362</v>
      </c>
      <c r="D12" s="31">
        <v>362</v>
      </c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31"/>
      <c r="Q12" s="31"/>
      <c r="R12" s="31"/>
      <c r="S12" s="29">
        <f>YEAR(Tabla2[[#This Row],[Fecha]])</f>
        <v>2020</v>
      </c>
    </row>
    <row r="13" hidden="1" spans="1:19">
      <c r="A13" s="27">
        <v>44012</v>
      </c>
      <c r="B13" s="27" t="s">
        <v>22</v>
      </c>
      <c r="C13" s="30">
        <f>SUM(D13:R13)</f>
        <v>1920</v>
      </c>
      <c r="D13" s="31">
        <v>1920</v>
      </c>
      <c r="E13" s="31"/>
      <c r="F13" s="31"/>
      <c r="G13" s="31"/>
      <c r="H13" s="31"/>
      <c r="I13" s="31"/>
      <c r="J13" s="31"/>
      <c r="K13" s="31"/>
      <c r="L13" s="31"/>
      <c r="M13" s="31"/>
      <c r="N13" s="31"/>
      <c r="O13" s="31"/>
      <c r="P13" s="31"/>
      <c r="Q13" s="31"/>
      <c r="R13" s="31"/>
      <c r="S13" s="29">
        <f>YEAR(Tabla2[[#This Row],[Fecha]])</f>
        <v>2020</v>
      </c>
    </row>
    <row r="14" hidden="1" spans="1:19">
      <c r="A14" s="27">
        <v>44015</v>
      </c>
      <c r="B14" s="27" t="s">
        <v>26</v>
      </c>
      <c r="C14" s="30">
        <f>SUM(D14:R14)</f>
        <v>2400</v>
      </c>
      <c r="D14" s="31">
        <v>2400</v>
      </c>
      <c r="E14" s="31"/>
      <c r="F14" s="31"/>
      <c r="G14" s="31"/>
      <c r="H14" s="31"/>
      <c r="I14" s="31"/>
      <c r="J14" s="31"/>
      <c r="K14" s="31"/>
      <c r="L14" s="31"/>
      <c r="M14" s="31"/>
      <c r="N14" s="31"/>
      <c r="O14" s="31"/>
      <c r="P14" s="31"/>
      <c r="Q14" s="31"/>
      <c r="R14" s="31"/>
      <c r="S14" s="29">
        <f>YEAR(Tabla2[[#This Row],[Fecha]])</f>
        <v>2020</v>
      </c>
    </row>
    <row r="15" hidden="1" spans="1:19">
      <c r="A15" s="27">
        <v>44018</v>
      </c>
      <c r="B15" s="27" t="s">
        <v>22</v>
      </c>
      <c r="C15" s="30">
        <f>SUM(D15:R15)</f>
        <v>76</v>
      </c>
      <c r="D15" s="31">
        <v>76</v>
      </c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29">
        <f>YEAR(Tabla2[[#This Row],[Fecha]])</f>
        <v>2020</v>
      </c>
    </row>
    <row r="16" hidden="1" spans="1:19">
      <c r="A16" s="27">
        <v>44018</v>
      </c>
      <c r="B16" s="27" t="s">
        <v>22</v>
      </c>
      <c r="C16" s="30">
        <f>SUM(D16:R16)</f>
        <v>720</v>
      </c>
      <c r="D16" s="31">
        <v>720</v>
      </c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29">
        <f>YEAR(Tabla2[[#This Row],[Fecha]])</f>
        <v>2020</v>
      </c>
    </row>
    <row r="17" hidden="1" spans="1:19">
      <c r="A17" s="27">
        <v>44023</v>
      </c>
      <c r="B17" s="27" t="s">
        <v>22</v>
      </c>
      <c r="C17" s="30">
        <f>SUM(D17:R17)</f>
        <v>2400</v>
      </c>
      <c r="D17" s="31">
        <v>2400</v>
      </c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29">
        <f>YEAR(Tabla2[[#This Row],[Fecha]])</f>
        <v>2020</v>
      </c>
    </row>
    <row r="18" hidden="1" spans="1:19">
      <c r="A18" s="27">
        <v>44024</v>
      </c>
      <c r="B18" s="27" t="s">
        <v>22</v>
      </c>
      <c r="C18" s="30">
        <f>SUM(D18:R18)</f>
        <v>55</v>
      </c>
      <c r="D18" s="31">
        <v>55</v>
      </c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31"/>
      <c r="Q18" s="31"/>
      <c r="R18" s="31"/>
      <c r="S18" s="29">
        <f>YEAR(Tabla2[[#This Row],[Fecha]])</f>
        <v>2020</v>
      </c>
    </row>
    <row r="19" hidden="1" spans="1:19">
      <c r="A19" s="27">
        <v>44025</v>
      </c>
      <c r="B19" s="27" t="s">
        <v>27</v>
      </c>
      <c r="C19" s="30">
        <f>SUM(D19:R19)</f>
        <v>85</v>
      </c>
      <c r="D19" s="31">
        <v>85</v>
      </c>
      <c r="E19" s="31"/>
      <c r="F19" s="31"/>
      <c r="G19" s="31"/>
      <c r="H19" s="31"/>
      <c r="I19" s="31"/>
      <c r="J19" s="31"/>
      <c r="K19" s="31"/>
      <c r="L19" s="31"/>
      <c r="M19" s="31"/>
      <c r="N19" s="31"/>
      <c r="O19" s="31"/>
      <c r="P19" s="31"/>
      <c r="Q19" s="31"/>
      <c r="R19" s="31"/>
      <c r="S19" s="29">
        <f>YEAR(Tabla2[[#This Row],[Fecha]])</f>
        <v>2020</v>
      </c>
    </row>
    <row r="20" hidden="1" spans="1:19">
      <c r="A20" s="27">
        <v>44027</v>
      </c>
      <c r="B20" s="27" t="s">
        <v>26</v>
      </c>
      <c r="C20" s="30">
        <f>SUM(D20:R20)</f>
        <v>327</v>
      </c>
      <c r="D20" s="31">
        <v>327</v>
      </c>
      <c r="E20" s="31"/>
      <c r="F20" s="31"/>
      <c r="G20" s="31"/>
      <c r="H20" s="31"/>
      <c r="I20" s="31"/>
      <c r="J20" s="31"/>
      <c r="K20" s="31"/>
      <c r="L20" s="31"/>
      <c r="M20" s="31"/>
      <c r="N20" s="31"/>
      <c r="O20" s="31"/>
      <c r="P20" s="31"/>
      <c r="Q20" s="31"/>
      <c r="R20" s="31"/>
      <c r="S20" s="29">
        <f>YEAR(Tabla2[[#This Row],[Fecha]])</f>
        <v>2020</v>
      </c>
    </row>
    <row r="21" hidden="1" spans="1:19">
      <c r="A21" s="27">
        <v>44029</v>
      </c>
      <c r="B21" s="27" t="s">
        <v>26</v>
      </c>
      <c r="C21" s="30">
        <f>SUM(D21:R21)</f>
        <v>109</v>
      </c>
      <c r="D21" s="31">
        <v>109</v>
      </c>
      <c r="E21" s="31"/>
      <c r="F21" s="31"/>
      <c r="G21" s="31"/>
      <c r="H21" s="31"/>
      <c r="I21" s="31"/>
      <c r="J21" s="31"/>
      <c r="K21" s="31"/>
      <c r="L21" s="31"/>
      <c r="M21" s="31"/>
      <c r="N21" s="31"/>
      <c r="O21" s="31"/>
      <c r="P21" s="31"/>
      <c r="Q21" s="31"/>
      <c r="R21" s="31"/>
      <c r="S21" s="29">
        <f>YEAR(Tabla2[[#This Row],[Fecha]])</f>
        <v>2020</v>
      </c>
    </row>
    <row r="22" hidden="1" spans="1:19">
      <c r="A22" s="27">
        <v>44030</v>
      </c>
      <c r="B22" s="27" t="s">
        <v>26</v>
      </c>
      <c r="C22" s="30">
        <f>SUM(D22:R22)</f>
        <v>94</v>
      </c>
      <c r="D22" s="31">
        <v>94</v>
      </c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29">
        <f>YEAR(Tabla2[[#This Row],[Fecha]])</f>
        <v>2020</v>
      </c>
    </row>
    <row r="23" hidden="1" spans="1:19">
      <c r="A23" s="27">
        <v>44032</v>
      </c>
      <c r="B23" s="27" t="s">
        <v>28</v>
      </c>
      <c r="C23" s="30">
        <f>SUM(D23:R23)</f>
        <v>222</v>
      </c>
      <c r="D23" s="31">
        <v>222</v>
      </c>
      <c r="E23" s="31"/>
      <c r="F23" s="31"/>
      <c r="G23" s="31"/>
      <c r="H23" s="31"/>
      <c r="I23" s="31"/>
      <c r="J23" s="31"/>
      <c r="K23" s="31"/>
      <c r="L23" s="31"/>
      <c r="M23" s="31"/>
      <c r="N23" s="31"/>
      <c r="O23" s="31"/>
      <c r="P23" s="31"/>
      <c r="Q23" s="31"/>
      <c r="R23" s="31"/>
      <c r="S23" s="29">
        <f>YEAR(Tabla2[[#This Row],[Fecha]])</f>
        <v>2020</v>
      </c>
    </row>
    <row r="24" hidden="1" spans="1:19">
      <c r="A24" s="27">
        <v>44036</v>
      </c>
      <c r="B24" s="27" t="s">
        <v>28</v>
      </c>
      <c r="C24" s="30">
        <f>SUM(D24:R24)</f>
        <v>82</v>
      </c>
      <c r="D24" s="31">
        <v>82</v>
      </c>
      <c r="E24" s="31"/>
      <c r="F24" s="31"/>
      <c r="G24" s="31"/>
      <c r="H24" s="31"/>
      <c r="I24" s="31"/>
      <c r="J24" s="31"/>
      <c r="K24" s="31"/>
      <c r="L24" s="31"/>
      <c r="M24" s="31"/>
      <c r="N24" s="31"/>
      <c r="O24" s="31"/>
      <c r="P24" s="31"/>
      <c r="Q24" s="31"/>
      <c r="R24" s="31"/>
      <c r="S24" s="29">
        <f>YEAR(Tabla2[[#This Row],[Fecha]])</f>
        <v>2020</v>
      </c>
    </row>
    <row r="25" hidden="1" spans="1:19">
      <c r="A25" s="27">
        <v>44040</v>
      </c>
      <c r="B25" s="27" t="s">
        <v>22</v>
      </c>
      <c r="C25" s="30">
        <f>SUM(D25:R25)</f>
        <v>53</v>
      </c>
      <c r="D25" s="31">
        <v>53</v>
      </c>
      <c r="E25" s="31"/>
      <c r="F25" s="31"/>
      <c r="G25" s="31"/>
      <c r="H25" s="31"/>
      <c r="I25" s="31"/>
      <c r="J25" s="31"/>
      <c r="K25" s="31"/>
      <c r="L25" s="31"/>
      <c r="M25" s="31"/>
      <c r="N25" s="31"/>
      <c r="O25" s="31"/>
      <c r="P25" s="31"/>
      <c r="Q25" s="31"/>
      <c r="R25" s="31"/>
      <c r="S25" s="29">
        <f>YEAR(Tabla2[[#This Row],[Fecha]])</f>
        <v>2020</v>
      </c>
    </row>
    <row r="26" hidden="1" spans="1:19">
      <c r="A26" s="27">
        <v>44044</v>
      </c>
      <c r="B26" s="27" t="s">
        <v>29</v>
      </c>
      <c r="C26" s="30">
        <f>SUM(D26:R26)</f>
        <v>116</v>
      </c>
      <c r="D26" s="31">
        <v>116</v>
      </c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29">
        <f>YEAR(Tabla2[[#This Row],[Fecha]])</f>
        <v>2020</v>
      </c>
    </row>
    <row r="27" hidden="1" spans="1:19">
      <c r="A27" s="27">
        <v>44049</v>
      </c>
      <c r="B27" s="27" t="s">
        <v>30</v>
      </c>
      <c r="C27" s="30">
        <f>SUM(D27:R27)</f>
        <v>113</v>
      </c>
      <c r="D27" s="31">
        <v>113</v>
      </c>
      <c r="E27" s="31"/>
      <c r="F27" s="31"/>
      <c r="G27" s="31"/>
      <c r="H27" s="31"/>
      <c r="I27" s="31"/>
      <c r="J27" s="31"/>
      <c r="K27" s="31"/>
      <c r="L27" s="31"/>
      <c r="M27" s="31"/>
      <c r="N27" s="31"/>
      <c r="O27" s="31"/>
      <c r="P27" s="31"/>
      <c r="Q27" s="31"/>
      <c r="R27" s="31"/>
      <c r="S27" s="29">
        <f>YEAR(Tabla2[[#This Row],[Fecha]])</f>
        <v>2020</v>
      </c>
    </row>
    <row r="28" hidden="1" spans="1:19">
      <c r="A28" s="27">
        <v>44053</v>
      </c>
      <c r="B28" s="27" t="s">
        <v>22</v>
      </c>
      <c r="C28" s="30">
        <f>SUM(D28:R28)</f>
        <v>174</v>
      </c>
      <c r="D28" s="31">
        <v>174</v>
      </c>
      <c r="E28" s="31"/>
      <c r="F28" s="31"/>
      <c r="G28" s="31"/>
      <c r="H28" s="31"/>
      <c r="I28" s="31"/>
      <c r="J28" s="31"/>
      <c r="K28" s="31"/>
      <c r="L28" s="31"/>
      <c r="M28" s="31"/>
      <c r="N28" s="31"/>
      <c r="O28" s="31"/>
      <c r="P28" s="31"/>
      <c r="Q28" s="31"/>
      <c r="R28" s="31"/>
      <c r="S28" s="29">
        <f>YEAR(Tabla2[[#This Row],[Fecha]])</f>
        <v>2020</v>
      </c>
    </row>
    <row r="29" hidden="1" spans="1:19">
      <c r="A29" s="27">
        <v>44056</v>
      </c>
      <c r="B29" s="27" t="s">
        <v>22</v>
      </c>
      <c r="C29" s="30">
        <f>SUM(D29:R29)</f>
        <v>88</v>
      </c>
      <c r="D29" s="31">
        <v>88</v>
      </c>
      <c r="E29" s="31"/>
      <c r="F29" s="31"/>
      <c r="G29" s="31"/>
      <c r="H29" s="31"/>
      <c r="I29" s="31"/>
      <c r="J29" s="31"/>
      <c r="K29" s="31"/>
      <c r="L29" s="31"/>
      <c r="M29" s="31"/>
      <c r="N29" s="31"/>
      <c r="O29" s="31"/>
      <c r="P29" s="31"/>
      <c r="Q29" s="31"/>
      <c r="R29" s="31"/>
      <c r="S29" s="29">
        <f>YEAR(Tabla2[[#This Row],[Fecha]])</f>
        <v>2020</v>
      </c>
    </row>
    <row r="30" hidden="1" spans="1:19">
      <c r="A30" s="27">
        <v>44059</v>
      </c>
      <c r="B30" s="27" t="s">
        <v>22</v>
      </c>
      <c r="C30" s="30">
        <f>SUM(D30:R30)</f>
        <v>86</v>
      </c>
      <c r="D30" s="31">
        <v>86</v>
      </c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29">
        <f>YEAR(Tabla2[[#This Row],[Fecha]])</f>
        <v>2020</v>
      </c>
    </row>
    <row r="31" hidden="1" spans="1:19">
      <c r="A31" s="27">
        <v>44063</v>
      </c>
      <c r="B31" s="27" t="s">
        <v>31</v>
      </c>
      <c r="C31" s="30">
        <f>SUM(D31:R31)</f>
        <v>265</v>
      </c>
      <c r="D31" s="31">
        <v>265</v>
      </c>
      <c r="E31" s="31"/>
      <c r="F31" s="31"/>
      <c r="G31" s="31"/>
      <c r="H31" s="31"/>
      <c r="I31" s="31"/>
      <c r="J31" s="31"/>
      <c r="K31" s="31"/>
      <c r="L31" s="31"/>
      <c r="M31" s="31"/>
      <c r="N31" s="31"/>
      <c r="O31" s="31"/>
      <c r="P31" s="31"/>
      <c r="Q31" s="31"/>
      <c r="R31" s="31"/>
      <c r="S31" s="29">
        <f>YEAR(Tabla2[[#This Row],[Fecha]])</f>
        <v>2020</v>
      </c>
    </row>
    <row r="32" hidden="1" spans="1:19">
      <c r="A32" s="27">
        <v>44064</v>
      </c>
      <c r="B32" s="27" t="s">
        <v>32</v>
      </c>
      <c r="C32" s="30">
        <f>SUM(D32:R32)</f>
        <v>92</v>
      </c>
      <c r="D32" s="31">
        <v>92</v>
      </c>
      <c r="E32" s="31"/>
      <c r="F32" s="31"/>
      <c r="G32" s="31"/>
      <c r="H32" s="31"/>
      <c r="I32" s="31"/>
      <c r="J32" s="31"/>
      <c r="K32" s="31"/>
      <c r="L32" s="31"/>
      <c r="M32" s="31"/>
      <c r="N32" s="31"/>
      <c r="O32" s="31"/>
      <c r="P32" s="31"/>
      <c r="Q32" s="31"/>
      <c r="R32" s="31"/>
      <c r="S32" s="29">
        <f>YEAR(Tabla2[[#This Row],[Fecha]])</f>
        <v>2020</v>
      </c>
    </row>
    <row r="33" hidden="1" spans="1:19">
      <c r="A33" s="27">
        <v>44068</v>
      </c>
      <c r="B33" s="27" t="s">
        <v>32</v>
      </c>
      <c r="C33" s="30">
        <f>SUM(D33:R33)</f>
        <v>101</v>
      </c>
      <c r="D33" s="31">
        <v>101</v>
      </c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31"/>
      <c r="S33" s="29">
        <f>YEAR(Tabla2[[#This Row],[Fecha]])</f>
        <v>2020</v>
      </c>
    </row>
    <row r="34" hidden="1" spans="1:19">
      <c r="A34" s="27">
        <v>44069</v>
      </c>
      <c r="B34" s="27" t="s">
        <v>33</v>
      </c>
      <c r="C34" s="30">
        <f>SUM(D34:R34)</f>
        <v>900</v>
      </c>
      <c r="D34" s="31">
        <v>900</v>
      </c>
      <c r="E34" s="31"/>
      <c r="F34" s="31"/>
      <c r="G34" s="31"/>
      <c r="H34" s="31"/>
      <c r="I34" s="31"/>
      <c r="J34" s="31"/>
      <c r="K34" s="31"/>
      <c r="L34" s="31"/>
      <c r="M34" s="31"/>
      <c r="N34" s="31"/>
      <c r="O34" s="31"/>
      <c r="P34" s="31"/>
      <c r="Q34" s="31"/>
      <c r="R34" s="31"/>
      <c r="S34" s="29">
        <f>YEAR(Tabla2[[#This Row],[Fecha]])</f>
        <v>2020</v>
      </c>
    </row>
    <row r="35" hidden="1" spans="1:19">
      <c r="A35" s="27">
        <v>44074</v>
      </c>
      <c r="B35" s="27" t="s">
        <v>22</v>
      </c>
      <c r="C35" s="30">
        <f>SUM(D35:R35)</f>
        <v>73</v>
      </c>
      <c r="D35" s="31">
        <v>73</v>
      </c>
      <c r="E35" s="31"/>
      <c r="F35" s="31"/>
      <c r="G35" s="31"/>
      <c r="H35" s="31"/>
      <c r="I35" s="31"/>
      <c r="J35" s="31"/>
      <c r="K35" s="31"/>
      <c r="L35" s="31"/>
      <c r="M35" s="31"/>
      <c r="N35" s="31"/>
      <c r="O35" s="31"/>
      <c r="P35" s="31"/>
      <c r="Q35" s="31"/>
      <c r="R35" s="31"/>
      <c r="S35" s="29">
        <f>YEAR(Tabla2[[#This Row],[Fecha]])</f>
        <v>2020</v>
      </c>
    </row>
    <row r="36" hidden="1" spans="1:19">
      <c r="A36" s="27">
        <v>44076</v>
      </c>
      <c r="B36" s="27" t="s">
        <v>19</v>
      </c>
      <c r="C36" s="30">
        <f>SUM(D36:R36)</f>
        <v>375</v>
      </c>
      <c r="D36" s="31">
        <v>375</v>
      </c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31"/>
      <c r="Q36" s="31"/>
      <c r="R36" s="31"/>
      <c r="S36" s="29">
        <f>YEAR(Tabla2[[#This Row],[Fecha]])</f>
        <v>2020</v>
      </c>
    </row>
    <row r="37" hidden="1" spans="1:19">
      <c r="A37" s="27">
        <v>44076</v>
      </c>
      <c r="B37" s="27" t="s">
        <v>22</v>
      </c>
      <c r="C37" s="30">
        <f>SUM(D37:R37)</f>
        <v>348</v>
      </c>
      <c r="D37" s="31">
        <v>348</v>
      </c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31"/>
      <c r="Q37" s="31"/>
      <c r="R37" s="31"/>
      <c r="S37" s="29">
        <f>YEAR(Tabla2[[#This Row],[Fecha]])</f>
        <v>2020</v>
      </c>
    </row>
    <row r="38" hidden="1" spans="1:19">
      <c r="A38" s="27">
        <v>44077</v>
      </c>
      <c r="B38" s="27" t="s">
        <v>22</v>
      </c>
      <c r="C38" s="30">
        <f>SUM(D38:R38)</f>
        <v>84</v>
      </c>
      <c r="D38" s="31">
        <v>84</v>
      </c>
      <c r="E38" s="31"/>
      <c r="F38" s="31"/>
      <c r="G38" s="31"/>
      <c r="H38" s="31"/>
      <c r="I38" s="31"/>
      <c r="J38" s="31"/>
      <c r="K38" s="31"/>
      <c r="L38" s="31"/>
      <c r="M38" s="31"/>
      <c r="N38" s="31"/>
      <c r="O38" s="31"/>
      <c r="P38" s="31"/>
      <c r="Q38" s="31"/>
      <c r="R38" s="31"/>
      <c r="S38" s="29">
        <f>YEAR(Tabla2[[#This Row],[Fecha]])</f>
        <v>2020</v>
      </c>
    </row>
    <row r="39" hidden="1" spans="1:19">
      <c r="A39" s="27">
        <v>44080</v>
      </c>
      <c r="B39" s="27" t="s">
        <v>22</v>
      </c>
      <c r="C39" s="30">
        <f>SUM(D39:R39)</f>
        <v>95</v>
      </c>
      <c r="D39" s="31">
        <v>95</v>
      </c>
      <c r="E39" s="31"/>
      <c r="F39" s="31"/>
      <c r="G39" s="31"/>
      <c r="H39" s="31"/>
      <c r="I39" s="31"/>
      <c r="J39" s="31"/>
      <c r="K39" s="31"/>
      <c r="L39" s="31"/>
      <c r="M39" s="31"/>
      <c r="N39" s="31"/>
      <c r="O39" s="31"/>
      <c r="P39" s="31"/>
      <c r="Q39" s="31"/>
      <c r="R39" s="31"/>
      <c r="S39" s="29">
        <f>YEAR(Tabla2[[#This Row],[Fecha]])</f>
        <v>2020</v>
      </c>
    </row>
    <row r="40" hidden="1" spans="1:19">
      <c r="A40" s="27">
        <v>44082</v>
      </c>
      <c r="B40" s="27" t="s">
        <v>22</v>
      </c>
      <c r="C40" s="30">
        <f>SUM(D40:R40)</f>
        <v>10</v>
      </c>
      <c r="D40" s="31">
        <v>10</v>
      </c>
      <c r="E40" s="31"/>
      <c r="F40" s="31"/>
      <c r="G40" s="31"/>
      <c r="H40" s="31"/>
      <c r="I40" s="31"/>
      <c r="J40" s="31"/>
      <c r="K40" s="31"/>
      <c r="L40" s="31"/>
      <c r="M40" s="31"/>
      <c r="N40" s="31"/>
      <c r="O40" s="31"/>
      <c r="P40" s="31"/>
      <c r="Q40" s="31"/>
      <c r="R40" s="31"/>
      <c r="S40" s="29">
        <f>YEAR(Tabla2[[#This Row],[Fecha]])</f>
        <v>2020</v>
      </c>
    </row>
    <row r="41" hidden="1" spans="1:19">
      <c r="A41" s="27">
        <v>44082</v>
      </c>
      <c r="B41" s="27" t="s">
        <v>22</v>
      </c>
      <c r="C41" s="30">
        <f>SUM(D41:R41)</f>
        <v>51</v>
      </c>
      <c r="D41" s="31">
        <v>51</v>
      </c>
      <c r="E41" s="31"/>
      <c r="F41" s="31"/>
      <c r="G41" s="31"/>
      <c r="H41" s="31"/>
      <c r="I41" s="31"/>
      <c r="J41" s="31"/>
      <c r="K41" s="31"/>
      <c r="L41" s="31"/>
      <c r="M41" s="31"/>
      <c r="N41" s="31"/>
      <c r="O41" s="31"/>
      <c r="P41" s="31"/>
      <c r="Q41" s="31"/>
      <c r="R41" s="31"/>
      <c r="S41" s="29">
        <f>YEAR(Tabla2[[#This Row],[Fecha]])</f>
        <v>2020</v>
      </c>
    </row>
    <row r="42" hidden="1" spans="1:19">
      <c r="A42" s="27">
        <v>44089</v>
      </c>
      <c r="B42" s="27" t="s">
        <v>22</v>
      </c>
      <c r="C42" s="30">
        <f>SUM(D42:R42)</f>
        <v>89</v>
      </c>
      <c r="D42" s="31">
        <v>89</v>
      </c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29">
        <f>YEAR(Tabla2[[#This Row],[Fecha]])</f>
        <v>2020</v>
      </c>
    </row>
    <row r="43" hidden="1" spans="1:19">
      <c r="A43" s="27">
        <v>44099</v>
      </c>
      <c r="B43" s="27" t="s">
        <v>22</v>
      </c>
      <c r="C43" s="30">
        <f>SUM(D43:R43)</f>
        <v>110</v>
      </c>
      <c r="D43" s="31">
        <v>110</v>
      </c>
      <c r="E43" s="31"/>
      <c r="F43" s="31"/>
      <c r="G43" s="31"/>
      <c r="H43" s="31"/>
      <c r="I43" s="31"/>
      <c r="J43" s="31"/>
      <c r="K43" s="31"/>
      <c r="L43" s="31"/>
      <c r="M43" s="31"/>
      <c r="N43" s="31"/>
      <c r="O43" s="31"/>
      <c r="P43" s="31"/>
      <c r="Q43" s="31"/>
      <c r="R43" s="31"/>
      <c r="S43" s="29">
        <f>YEAR(Tabla2[[#This Row],[Fecha]])</f>
        <v>2020</v>
      </c>
    </row>
    <row r="44" hidden="1" spans="1:19">
      <c r="A44" s="27">
        <v>44113</v>
      </c>
      <c r="B44" s="27" t="s">
        <v>31</v>
      </c>
      <c r="C44" s="30">
        <f>SUM(D44:R44)</f>
        <v>60</v>
      </c>
      <c r="D44" s="31">
        <v>60</v>
      </c>
      <c r="E44" s="31"/>
      <c r="F44" s="31"/>
      <c r="G44" s="31"/>
      <c r="H44" s="31"/>
      <c r="I44" s="31"/>
      <c r="J44" s="31"/>
      <c r="K44" s="31"/>
      <c r="L44" s="31"/>
      <c r="M44" s="31"/>
      <c r="N44" s="31"/>
      <c r="O44" s="31"/>
      <c r="P44" s="31"/>
      <c r="Q44" s="31"/>
      <c r="R44" s="31"/>
      <c r="S44" s="29">
        <f>YEAR(Tabla2[[#This Row],[Fecha]])</f>
        <v>2020</v>
      </c>
    </row>
    <row r="45" hidden="1" spans="1:19">
      <c r="A45" s="27">
        <v>44114</v>
      </c>
      <c r="B45" s="27" t="s">
        <v>34</v>
      </c>
      <c r="C45" s="30">
        <f>SUM(D45:R45)</f>
        <v>60</v>
      </c>
      <c r="D45" s="31">
        <v>60</v>
      </c>
      <c r="E45" s="31"/>
      <c r="F45" s="31"/>
      <c r="G45" s="31"/>
      <c r="H45" s="31"/>
      <c r="I45" s="31"/>
      <c r="J45" s="31"/>
      <c r="K45" s="31"/>
      <c r="L45" s="31"/>
      <c r="M45" s="31"/>
      <c r="N45" s="31"/>
      <c r="O45" s="31"/>
      <c r="P45" s="31"/>
      <c r="Q45" s="31"/>
      <c r="R45" s="31"/>
      <c r="S45" s="29">
        <f>YEAR(Tabla2[[#This Row],[Fecha]])</f>
        <v>2020</v>
      </c>
    </row>
    <row r="46" hidden="1" spans="1:19">
      <c r="A46" s="27">
        <v>44205</v>
      </c>
      <c r="B46" s="27" t="s">
        <v>31</v>
      </c>
      <c r="C46" s="30">
        <f>SUM(D46:R46)</f>
        <v>310</v>
      </c>
      <c r="D46" s="31">
        <v>310</v>
      </c>
      <c r="E46" s="31"/>
      <c r="F46" s="31"/>
      <c r="G46" s="31"/>
      <c r="H46" s="31"/>
      <c r="I46" s="31"/>
      <c r="J46" s="31"/>
      <c r="K46" s="31"/>
      <c r="L46" s="31"/>
      <c r="M46" s="31"/>
      <c r="N46" s="31"/>
      <c r="O46" s="31"/>
      <c r="P46" s="31"/>
      <c r="Q46" s="31"/>
      <c r="R46" s="31"/>
      <c r="S46" s="29">
        <f>YEAR(Tabla2[[#This Row],[Fecha]])</f>
        <v>2021</v>
      </c>
    </row>
    <row r="47" hidden="1" spans="1:19">
      <c r="A47" s="27">
        <v>44235</v>
      </c>
      <c r="B47" s="27" t="s">
        <v>31</v>
      </c>
      <c r="C47" s="30">
        <f>SUM(D47:R47)</f>
        <v>806</v>
      </c>
      <c r="D47" s="31">
        <v>806</v>
      </c>
      <c r="E47" s="31"/>
      <c r="F47" s="31"/>
      <c r="G47" s="31"/>
      <c r="H47" s="31"/>
      <c r="I47" s="31"/>
      <c r="J47" s="31"/>
      <c r="K47" s="31"/>
      <c r="L47" s="31"/>
      <c r="M47" s="31"/>
      <c r="N47" s="31"/>
      <c r="O47" s="31"/>
      <c r="P47" s="31"/>
      <c r="Q47" s="31"/>
      <c r="R47" s="31"/>
      <c r="S47" s="29">
        <f>YEAR(Tabla2[[#This Row],[Fecha]])</f>
        <v>2021</v>
      </c>
    </row>
    <row r="48" hidden="1" spans="1:19">
      <c r="A48" s="27">
        <v>44239</v>
      </c>
      <c r="B48" s="27" t="s">
        <v>31</v>
      </c>
      <c r="C48" s="30">
        <f>SUM(D48:R48)</f>
        <v>41</v>
      </c>
      <c r="D48" s="31">
        <v>41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  <c r="O48" s="31"/>
      <c r="P48" s="31"/>
      <c r="Q48" s="31"/>
      <c r="R48" s="31"/>
      <c r="S48" s="29">
        <f>YEAR(Tabla2[[#This Row],[Fecha]])</f>
        <v>2021</v>
      </c>
    </row>
    <row r="49" hidden="1" spans="1:19">
      <c r="A49" s="27">
        <v>44240</v>
      </c>
      <c r="B49" s="27" t="s">
        <v>31</v>
      </c>
      <c r="C49" s="30">
        <f>SUM(D49:R49)</f>
        <v>20</v>
      </c>
      <c r="D49" s="31">
        <v>20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  <c r="O49" s="31"/>
      <c r="P49" s="31"/>
      <c r="Q49" s="31"/>
      <c r="R49" s="31"/>
      <c r="S49" s="29">
        <f>YEAR(Tabla2[[#This Row],[Fecha]])</f>
        <v>2021</v>
      </c>
    </row>
    <row r="50" hidden="1" spans="1:19">
      <c r="A50" s="27">
        <v>44241</v>
      </c>
      <c r="B50" s="27" t="s">
        <v>31</v>
      </c>
      <c r="C50" s="30">
        <f>SUM(D50:R50)</f>
        <v>7</v>
      </c>
      <c r="D50" s="31">
        <v>7</v>
      </c>
      <c r="E50" s="31"/>
      <c r="F50" s="31"/>
      <c r="G50" s="31"/>
      <c r="H50" s="31"/>
      <c r="I50" s="31"/>
      <c r="J50" s="31"/>
      <c r="K50" s="31"/>
      <c r="L50" s="31"/>
      <c r="M50" s="31"/>
      <c r="N50" s="31"/>
      <c r="O50" s="31"/>
      <c r="P50" s="31"/>
      <c r="Q50" s="31"/>
      <c r="R50" s="31"/>
      <c r="S50" s="29">
        <f>YEAR(Tabla2[[#This Row],[Fecha]])</f>
        <v>2021</v>
      </c>
    </row>
    <row r="51" hidden="1" spans="1:19">
      <c r="A51" s="27">
        <v>44244</v>
      </c>
      <c r="B51" s="27" t="s">
        <v>31</v>
      </c>
      <c r="C51" s="30">
        <f>SUM(D51:R51)</f>
        <v>25</v>
      </c>
      <c r="D51" s="31">
        <v>25</v>
      </c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31"/>
      <c r="S51" s="29">
        <f>YEAR(Tabla2[[#This Row],[Fecha]])</f>
        <v>2021</v>
      </c>
    </row>
    <row r="52" hidden="1" spans="1:19">
      <c r="A52" s="27">
        <v>44248</v>
      </c>
      <c r="B52" s="27" t="s">
        <v>31</v>
      </c>
      <c r="C52" s="30">
        <f>SUM(D52:R52)</f>
        <v>41</v>
      </c>
      <c r="D52" s="31">
        <v>41</v>
      </c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31"/>
      <c r="S52" s="29">
        <f>YEAR(Tabla2[[#This Row],[Fecha]])</f>
        <v>2021</v>
      </c>
    </row>
    <row r="53" hidden="1" spans="1:19">
      <c r="A53" s="27">
        <v>44248</v>
      </c>
      <c r="B53" s="27" t="s">
        <v>31</v>
      </c>
      <c r="C53" s="30">
        <f>SUM(D53:R53)</f>
        <v>180</v>
      </c>
      <c r="D53" s="31">
        <v>180</v>
      </c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31"/>
      <c r="Q53" s="31"/>
      <c r="R53" s="31"/>
      <c r="S53" s="29">
        <f>YEAR(Tabla2[[#This Row],[Fecha]])</f>
        <v>2021</v>
      </c>
    </row>
    <row r="54" hidden="1" spans="1:19">
      <c r="A54" s="27">
        <v>44252</v>
      </c>
      <c r="B54" s="27" t="s">
        <v>31</v>
      </c>
      <c r="C54" s="30">
        <f>SUM(D54:R54)</f>
        <v>79</v>
      </c>
      <c r="D54" s="31">
        <v>79</v>
      </c>
      <c r="E54" s="31"/>
      <c r="F54" s="31"/>
      <c r="G54" s="31"/>
      <c r="H54" s="31"/>
      <c r="I54" s="31"/>
      <c r="J54" s="31"/>
      <c r="K54" s="31"/>
      <c r="L54" s="31"/>
      <c r="M54" s="31"/>
      <c r="N54" s="31"/>
      <c r="O54" s="31"/>
      <c r="P54" s="31"/>
      <c r="Q54" s="31"/>
      <c r="R54" s="31"/>
      <c r="S54" s="29">
        <f>YEAR(Tabla2[[#This Row],[Fecha]])</f>
        <v>2021</v>
      </c>
    </row>
    <row r="55" hidden="1" spans="1:19">
      <c r="A55" s="27">
        <v>44253</v>
      </c>
      <c r="B55" s="27" t="s">
        <v>31</v>
      </c>
      <c r="C55" s="30">
        <f>SUM(D55:R55)</f>
        <v>303</v>
      </c>
      <c r="D55" s="31">
        <v>303</v>
      </c>
      <c r="E55" s="31"/>
      <c r="F55" s="31"/>
      <c r="G55" s="31"/>
      <c r="H55" s="31"/>
      <c r="I55" s="31"/>
      <c r="J55" s="31"/>
      <c r="K55" s="31"/>
      <c r="L55" s="31"/>
      <c r="M55" s="31"/>
      <c r="N55" s="31"/>
      <c r="O55" s="31"/>
      <c r="P55" s="31"/>
      <c r="Q55" s="31"/>
      <c r="R55" s="31"/>
      <c r="S55" s="29">
        <f>YEAR(Tabla2[[#This Row],[Fecha]])</f>
        <v>2021</v>
      </c>
    </row>
    <row r="56" hidden="1" spans="1:19">
      <c r="A56" s="27">
        <v>44258</v>
      </c>
      <c r="B56" s="27" t="s">
        <v>31</v>
      </c>
      <c r="C56" s="30">
        <f>SUM(D56:R56)</f>
        <v>46</v>
      </c>
      <c r="D56" s="31">
        <v>46</v>
      </c>
      <c r="E56" s="31"/>
      <c r="F56" s="31"/>
      <c r="G56" s="31"/>
      <c r="H56" s="31"/>
      <c r="I56" s="31"/>
      <c r="J56" s="31"/>
      <c r="K56" s="31"/>
      <c r="L56" s="31"/>
      <c r="M56" s="31"/>
      <c r="N56" s="31"/>
      <c r="O56" s="31"/>
      <c r="P56" s="31"/>
      <c r="Q56" s="31"/>
      <c r="R56" s="31"/>
      <c r="S56" s="29">
        <f>YEAR(Tabla2[[#This Row],[Fecha]])</f>
        <v>2021</v>
      </c>
    </row>
    <row r="57" hidden="1" spans="1:19">
      <c r="A57" s="27">
        <v>44263</v>
      </c>
      <c r="B57" s="27" t="s">
        <v>31</v>
      </c>
      <c r="C57" s="30">
        <f>SUM(D57:R57)</f>
        <v>90</v>
      </c>
      <c r="D57" s="31">
        <v>90</v>
      </c>
      <c r="E57" s="31"/>
      <c r="F57" s="31"/>
      <c r="G57" s="31"/>
      <c r="H57" s="31"/>
      <c r="I57" s="31"/>
      <c r="J57" s="31"/>
      <c r="K57" s="31"/>
      <c r="L57" s="31"/>
      <c r="M57" s="31"/>
      <c r="N57" s="31"/>
      <c r="O57" s="31"/>
      <c r="P57" s="31"/>
      <c r="Q57" s="31"/>
      <c r="R57" s="31"/>
      <c r="S57" s="29">
        <f>YEAR(Tabla2[[#This Row],[Fecha]])</f>
        <v>2021</v>
      </c>
    </row>
    <row r="58" hidden="1" spans="1:19">
      <c r="A58" s="27">
        <v>44274</v>
      </c>
      <c r="B58" s="27" t="s">
        <v>31</v>
      </c>
      <c r="C58" s="30">
        <f>SUM(D58:R58)</f>
        <v>90</v>
      </c>
      <c r="D58" s="31">
        <v>90</v>
      </c>
      <c r="E58" s="31"/>
      <c r="F58" s="31"/>
      <c r="G58" s="31"/>
      <c r="H58" s="31"/>
      <c r="I58" s="31"/>
      <c r="J58" s="31"/>
      <c r="K58" s="31"/>
      <c r="L58" s="31"/>
      <c r="M58" s="31"/>
      <c r="N58" s="31"/>
      <c r="O58" s="31"/>
      <c r="P58" s="31"/>
      <c r="Q58" s="31"/>
      <c r="R58" s="31"/>
      <c r="S58" s="29">
        <f>YEAR(Tabla2[[#This Row],[Fecha]])</f>
        <v>2021</v>
      </c>
    </row>
    <row r="59" hidden="1" spans="1:19">
      <c r="A59" s="27">
        <v>44314</v>
      </c>
      <c r="B59" s="27" t="s">
        <v>33</v>
      </c>
      <c r="C59" s="30">
        <f>SUM(D59:R59)</f>
        <v>70</v>
      </c>
      <c r="D59" s="31">
        <v>70</v>
      </c>
      <c r="E59" s="31"/>
      <c r="F59" s="31"/>
      <c r="G59" s="31"/>
      <c r="H59" s="31"/>
      <c r="I59" s="31"/>
      <c r="J59" s="31"/>
      <c r="K59" s="31"/>
      <c r="L59" s="31"/>
      <c r="M59" s="31"/>
      <c r="N59" s="31"/>
      <c r="O59" s="31"/>
      <c r="P59" s="31"/>
      <c r="Q59" s="31"/>
      <c r="R59" s="31"/>
      <c r="S59" s="29">
        <f>YEAR(Tabla2[[#This Row],[Fecha]])</f>
        <v>2021</v>
      </c>
    </row>
    <row r="60" hidden="1" spans="1:19">
      <c r="A60" s="27">
        <v>44316</v>
      </c>
      <c r="B60" s="27" t="s">
        <v>22</v>
      </c>
      <c r="C60" s="30">
        <f>SUM(D60:R60)</f>
        <v>52</v>
      </c>
      <c r="D60" s="31">
        <v>52</v>
      </c>
      <c r="E60" s="31"/>
      <c r="F60" s="31"/>
      <c r="G60" s="31"/>
      <c r="H60" s="31"/>
      <c r="I60" s="31"/>
      <c r="J60" s="31"/>
      <c r="K60" s="31"/>
      <c r="L60" s="31"/>
      <c r="M60" s="31"/>
      <c r="N60" s="31"/>
      <c r="O60" s="31"/>
      <c r="P60" s="31"/>
      <c r="Q60" s="31"/>
      <c r="R60" s="31"/>
      <c r="S60" s="29">
        <f>YEAR(Tabla2[[#This Row],[Fecha]])</f>
        <v>2021</v>
      </c>
    </row>
    <row r="61" hidden="1" spans="1:19">
      <c r="A61" s="27">
        <v>44358</v>
      </c>
      <c r="B61" s="27" t="s">
        <v>35</v>
      </c>
      <c r="C61" s="30">
        <f>SUM(D61:R61)</f>
        <v>390</v>
      </c>
      <c r="D61" s="31">
        <v>390</v>
      </c>
      <c r="E61" s="31"/>
      <c r="F61" s="31"/>
      <c r="G61" s="31"/>
      <c r="H61" s="31"/>
      <c r="I61" s="31"/>
      <c r="J61" s="31"/>
      <c r="K61" s="31"/>
      <c r="L61" s="31"/>
      <c r="M61" s="31"/>
      <c r="N61" s="31"/>
      <c r="O61" s="31"/>
      <c r="P61" s="31"/>
      <c r="Q61" s="31"/>
      <c r="R61" s="31"/>
      <c r="S61" s="29">
        <f>YEAR(Tabla2[[#This Row],[Fecha]])</f>
        <v>2021</v>
      </c>
    </row>
    <row r="62" hidden="1" spans="1:19">
      <c r="A62" s="27">
        <v>44368</v>
      </c>
      <c r="B62" s="27" t="s">
        <v>31</v>
      </c>
      <c r="C62" s="30">
        <f>SUM(D62:R62)</f>
        <v>1320</v>
      </c>
      <c r="D62" s="31">
        <v>1320</v>
      </c>
      <c r="E62" s="31"/>
      <c r="F62" s="31"/>
      <c r="G62" s="31"/>
      <c r="H62" s="31"/>
      <c r="I62" s="31"/>
      <c r="J62" s="31"/>
      <c r="K62" s="31"/>
      <c r="L62" s="31"/>
      <c r="M62" s="31"/>
      <c r="N62" s="31"/>
      <c r="O62" s="31"/>
      <c r="P62" s="31"/>
      <c r="Q62" s="31"/>
      <c r="R62" s="31"/>
      <c r="S62" s="29">
        <f>YEAR(Tabla2[[#This Row],[Fecha]])</f>
        <v>2021</v>
      </c>
    </row>
    <row r="63" hidden="1" spans="1:19">
      <c r="A63" s="27">
        <v>44379</v>
      </c>
      <c r="B63" s="27" t="s">
        <v>36</v>
      </c>
      <c r="C63" s="30">
        <f>SUM(D63:R63)</f>
        <v>649</v>
      </c>
      <c r="D63" s="31">
        <v>649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  <c r="O63" s="31"/>
      <c r="P63" s="31"/>
      <c r="Q63" s="31"/>
      <c r="R63" s="31"/>
      <c r="S63" s="29">
        <f>YEAR(Tabla2[[#This Row],[Fecha]])</f>
        <v>2021</v>
      </c>
    </row>
    <row r="64" hidden="1" spans="1:19">
      <c r="A64" s="27">
        <v>44406</v>
      </c>
      <c r="B64" s="27" t="s">
        <v>35</v>
      </c>
      <c r="C64" s="30">
        <f>SUM(D64:R64)</f>
        <v>90</v>
      </c>
      <c r="D64" s="31">
        <v>90</v>
      </c>
      <c r="E64" s="31"/>
      <c r="F64" s="31"/>
      <c r="G64" s="31"/>
      <c r="H64" s="31"/>
      <c r="I64" s="31"/>
      <c r="J64" s="31"/>
      <c r="K64" s="31"/>
      <c r="L64" s="31"/>
      <c r="M64" s="31"/>
      <c r="N64" s="31"/>
      <c r="O64" s="31"/>
      <c r="P64" s="31"/>
      <c r="Q64" s="31"/>
      <c r="R64" s="31"/>
      <c r="S64" s="29">
        <f>YEAR(Tabla2[[#This Row],[Fecha]])</f>
        <v>2021</v>
      </c>
    </row>
    <row r="65" hidden="1" spans="1:19">
      <c r="A65" s="27">
        <v>44406</v>
      </c>
      <c r="B65" s="27" t="s">
        <v>31</v>
      </c>
      <c r="C65" s="30">
        <f>SUM(D65:R65)</f>
        <v>180</v>
      </c>
      <c r="D65" s="31">
        <v>180</v>
      </c>
      <c r="E65" s="31"/>
      <c r="F65" s="31"/>
      <c r="G65" s="31"/>
      <c r="H65" s="31"/>
      <c r="I65" s="31"/>
      <c r="J65" s="31"/>
      <c r="K65" s="31"/>
      <c r="L65" s="31"/>
      <c r="M65" s="31"/>
      <c r="N65" s="31"/>
      <c r="O65" s="31"/>
      <c r="P65" s="31"/>
      <c r="Q65" s="31"/>
      <c r="R65" s="31"/>
      <c r="S65" s="29">
        <f>YEAR(Tabla2[[#This Row],[Fecha]])</f>
        <v>2021</v>
      </c>
    </row>
    <row r="66" hidden="1" spans="1:19">
      <c r="A66" s="27">
        <v>44407</v>
      </c>
      <c r="B66" s="27" t="s">
        <v>37</v>
      </c>
      <c r="C66" s="30">
        <f>SUM(D66:R66)</f>
        <v>60</v>
      </c>
      <c r="D66" s="31">
        <v>60</v>
      </c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  <c r="Q66" s="31"/>
      <c r="R66" s="31"/>
      <c r="S66" s="29">
        <f>YEAR(Tabla2[[#This Row],[Fecha]])</f>
        <v>2021</v>
      </c>
    </row>
    <row r="67" hidden="1" spans="1:19">
      <c r="A67" s="27">
        <v>44407</v>
      </c>
      <c r="B67" s="27" t="s">
        <v>22</v>
      </c>
      <c r="C67" s="30">
        <f>SUM(D67:R67)</f>
        <v>180</v>
      </c>
      <c r="D67" s="31">
        <v>180</v>
      </c>
      <c r="E67" s="31"/>
      <c r="F67" s="31"/>
      <c r="G67" s="31"/>
      <c r="H67" s="31"/>
      <c r="I67" s="31"/>
      <c r="J67" s="31"/>
      <c r="K67" s="31"/>
      <c r="L67" s="31"/>
      <c r="M67" s="31"/>
      <c r="N67" s="31"/>
      <c r="O67" s="31"/>
      <c r="P67" s="31"/>
      <c r="Q67" s="31"/>
      <c r="R67" s="31"/>
      <c r="S67" s="29">
        <f>YEAR(Tabla2[[#This Row],[Fecha]])</f>
        <v>2021</v>
      </c>
    </row>
    <row r="68" hidden="1" spans="1:19">
      <c r="A68" s="27">
        <v>44411</v>
      </c>
      <c r="B68" s="27" t="s">
        <v>19</v>
      </c>
      <c r="C68" s="30">
        <f>SUM(D68:R68)</f>
        <v>210</v>
      </c>
      <c r="D68" s="31">
        <v>210</v>
      </c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  <c r="Q68" s="31"/>
      <c r="R68" s="31"/>
      <c r="S68" s="29">
        <f>YEAR(Tabla2[[#This Row],[Fecha]])</f>
        <v>2021</v>
      </c>
    </row>
    <row r="69" hidden="1" spans="1:19">
      <c r="A69" s="27">
        <v>44415</v>
      </c>
      <c r="B69" s="27" t="s">
        <v>38</v>
      </c>
      <c r="C69" s="30">
        <f>SUM(D69:R69)</f>
        <v>60</v>
      </c>
      <c r="D69" s="31">
        <v>60</v>
      </c>
      <c r="E69" s="31"/>
      <c r="F69" s="31"/>
      <c r="G69" s="31"/>
      <c r="H69" s="31"/>
      <c r="I69" s="31"/>
      <c r="J69" s="31"/>
      <c r="K69" s="31"/>
      <c r="L69" s="31"/>
      <c r="M69" s="31"/>
      <c r="N69" s="31"/>
      <c r="O69" s="31"/>
      <c r="P69" s="31"/>
      <c r="Q69" s="31"/>
      <c r="R69" s="31"/>
      <c r="S69" s="29">
        <f>YEAR(Tabla2[[#This Row],[Fecha]])</f>
        <v>2021</v>
      </c>
    </row>
    <row r="70" hidden="1" spans="1:19">
      <c r="A70" s="27">
        <v>44415</v>
      </c>
      <c r="B70" s="27" t="s">
        <v>27</v>
      </c>
      <c r="C70" s="30">
        <f>SUM(D70:R70)</f>
        <v>240</v>
      </c>
      <c r="D70" s="31">
        <v>240</v>
      </c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  <c r="Q70" s="31"/>
      <c r="R70" s="31"/>
      <c r="S70" s="29">
        <f>YEAR(Tabla2[[#This Row],[Fecha]])</f>
        <v>2021</v>
      </c>
    </row>
    <row r="71" hidden="1" spans="1:19">
      <c r="A71" s="27">
        <v>44416</v>
      </c>
      <c r="B71" s="27" t="s">
        <v>39</v>
      </c>
      <c r="C71" s="30">
        <f>SUM(D71:R71)</f>
        <v>510</v>
      </c>
      <c r="D71" s="31">
        <v>510</v>
      </c>
      <c r="E71" s="31"/>
      <c r="F71" s="31"/>
      <c r="G71" s="31"/>
      <c r="H71" s="31"/>
      <c r="I71" s="31"/>
      <c r="J71" s="31"/>
      <c r="K71" s="31"/>
      <c r="L71" s="31"/>
      <c r="M71" s="31"/>
      <c r="N71" s="31"/>
      <c r="O71" s="31"/>
      <c r="P71" s="31"/>
      <c r="Q71" s="31"/>
      <c r="R71" s="31"/>
      <c r="S71" s="29">
        <f>YEAR(Tabla2[[#This Row],[Fecha]])</f>
        <v>2021</v>
      </c>
    </row>
    <row r="72" hidden="1" spans="1:19">
      <c r="A72" s="27">
        <v>44418</v>
      </c>
      <c r="B72" s="27" t="s">
        <v>24</v>
      </c>
      <c r="C72" s="30">
        <f>SUM(D72:R72)</f>
        <v>300</v>
      </c>
      <c r="D72" s="31">
        <v>300</v>
      </c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29">
        <f>YEAR(Tabla2[[#This Row],[Fecha]])</f>
        <v>2021</v>
      </c>
    </row>
    <row r="73" hidden="1" spans="1:19">
      <c r="A73" s="27">
        <v>44435</v>
      </c>
      <c r="B73" s="27" t="s">
        <v>24</v>
      </c>
      <c r="C73" s="30">
        <f>SUM(D73:R73)</f>
        <v>51</v>
      </c>
      <c r="D73" s="31">
        <v>51</v>
      </c>
      <c r="E73" s="31"/>
      <c r="F73" s="31"/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29">
        <f>YEAR(Tabla2[[#This Row],[Fecha]])</f>
        <v>2021</v>
      </c>
    </row>
    <row r="74" hidden="1" spans="1:19">
      <c r="A74" s="27">
        <v>44462</v>
      </c>
      <c r="B74" s="27" t="s">
        <v>37</v>
      </c>
      <c r="C74" s="30">
        <f>SUM(D74:R74)</f>
        <v>540</v>
      </c>
      <c r="D74" s="31">
        <v>540</v>
      </c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29">
        <f>YEAR(Tabla2[[#This Row],[Fecha]])</f>
        <v>2021</v>
      </c>
    </row>
    <row r="75" hidden="1" spans="1:19">
      <c r="A75" s="27">
        <v>44462</v>
      </c>
      <c r="B75" s="27" t="s">
        <v>31</v>
      </c>
      <c r="C75" s="30">
        <f>SUM(D75:R75)</f>
        <v>300</v>
      </c>
      <c r="D75" s="31">
        <v>300</v>
      </c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29">
        <f>YEAR(Tabla2[[#This Row],[Fecha]])</f>
        <v>2021</v>
      </c>
    </row>
    <row r="76" hidden="1" spans="1:19">
      <c r="A76" s="27">
        <v>44465</v>
      </c>
      <c r="B76" s="27" t="s">
        <v>37</v>
      </c>
      <c r="C76" s="30">
        <f>SUM(D76:R76)</f>
        <v>68</v>
      </c>
      <c r="D76" s="31">
        <v>68</v>
      </c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29">
        <f>YEAR(Tabla2[[#This Row],[Fecha]])</f>
        <v>2021</v>
      </c>
    </row>
    <row r="77" hidden="1" spans="1:19">
      <c r="A77" s="27">
        <v>44485</v>
      </c>
      <c r="B77" s="27" t="s">
        <v>33</v>
      </c>
      <c r="C77" s="30">
        <f>SUM(D77:R77)</f>
        <v>35</v>
      </c>
      <c r="D77" s="31">
        <v>35</v>
      </c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29">
        <f>YEAR(Tabla2[[#This Row],[Fecha]])</f>
        <v>2021</v>
      </c>
    </row>
    <row r="78" hidden="1" spans="1:19">
      <c r="A78" s="27">
        <v>44496</v>
      </c>
      <c r="B78" s="27" t="s">
        <v>33</v>
      </c>
      <c r="C78" s="30">
        <f>SUM(D78:R78)</f>
        <v>150</v>
      </c>
      <c r="D78" s="31">
        <v>150</v>
      </c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29">
        <f>YEAR(Tabla2[[#This Row],[Fecha]])</f>
        <v>2021</v>
      </c>
    </row>
    <row r="79" hidden="1" spans="1:19">
      <c r="A79" s="27">
        <v>44520</v>
      </c>
      <c r="B79" s="27" t="s">
        <v>34</v>
      </c>
      <c r="C79" s="30">
        <f>SUM(D79:R79)</f>
        <v>74</v>
      </c>
      <c r="D79" s="31">
        <v>74</v>
      </c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29">
        <f>YEAR(Tabla2[[#This Row],[Fecha]])</f>
        <v>2021</v>
      </c>
    </row>
    <row r="80" hidden="1" spans="1:19">
      <c r="A80" s="27">
        <v>44540</v>
      </c>
      <c r="B80" s="27" t="s">
        <v>40</v>
      </c>
      <c r="C80" s="30">
        <f>SUM(D80:R80)</f>
        <v>90</v>
      </c>
      <c r="D80" s="31">
        <v>90</v>
      </c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29">
        <f>YEAR(Tabla2[[#This Row],[Fecha]])</f>
        <v>2021</v>
      </c>
    </row>
    <row r="81" hidden="1" spans="1:19">
      <c r="A81" s="27">
        <v>44543</v>
      </c>
      <c r="B81" s="27" t="s">
        <v>41</v>
      </c>
      <c r="C81" s="30">
        <f>SUM(D81:R81)</f>
        <v>90</v>
      </c>
      <c r="D81" s="31">
        <v>90</v>
      </c>
      <c r="E81" s="31"/>
      <c r="F81" s="31"/>
      <c r="G81" s="31"/>
      <c r="H81" s="31"/>
      <c r="I81" s="31"/>
      <c r="J81" s="31"/>
      <c r="K81" s="31"/>
      <c r="L81" s="31"/>
      <c r="M81" s="31"/>
      <c r="N81" s="31"/>
      <c r="O81" s="31"/>
      <c r="P81" s="31"/>
      <c r="Q81" s="31"/>
      <c r="R81" s="31"/>
      <c r="S81" s="29">
        <f>YEAR(Tabla2[[#This Row],[Fecha]])</f>
        <v>2021</v>
      </c>
    </row>
    <row r="82" hidden="1" spans="1:19">
      <c r="A82" s="27">
        <v>44544</v>
      </c>
      <c r="B82" s="27" t="s">
        <v>40</v>
      </c>
      <c r="C82" s="30">
        <f>SUM(D82:R82)</f>
        <v>49</v>
      </c>
      <c r="D82" s="31">
        <v>49</v>
      </c>
      <c r="E82" s="31"/>
      <c r="F82" s="31"/>
      <c r="G82" s="31"/>
      <c r="H82" s="31"/>
      <c r="I82" s="31"/>
      <c r="J82" s="31"/>
      <c r="K82" s="31"/>
      <c r="L82" s="31"/>
      <c r="M82" s="31"/>
      <c r="N82" s="31"/>
      <c r="O82" s="31"/>
      <c r="P82" s="31"/>
      <c r="Q82" s="31"/>
      <c r="R82" s="31"/>
      <c r="S82" s="29">
        <f>YEAR(Tabla2[[#This Row],[Fecha]])</f>
        <v>2021</v>
      </c>
    </row>
    <row r="83" hidden="1" spans="1:19">
      <c r="A83" s="27">
        <v>44552</v>
      </c>
      <c r="B83" s="27" t="s">
        <v>34</v>
      </c>
      <c r="C83" s="30">
        <f>SUM(D83:R83)</f>
        <v>2010</v>
      </c>
      <c r="D83" s="31">
        <v>2010</v>
      </c>
      <c r="E83" s="31"/>
      <c r="F83" s="31"/>
      <c r="G83" s="31"/>
      <c r="H83" s="31"/>
      <c r="I83" s="31"/>
      <c r="J83" s="31"/>
      <c r="K83" s="31"/>
      <c r="L83" s="31"/>
      <c r="M83" s="31"/>
      <c r="N83" s="31"/>
      <c r="O83" s="31"/>
      <c r="P83" s="31"/>
      <c r="Q83" s="31"/>
      <c r="R83" s="31"/>
      <c r="S83" s="29">
        <f>YEAR(Tabla2[[#This Row],[Fecha]])</f>
        <v>2021</v>
      </c>
    </row>
    <row r="84" hidden="1" spans="1:19">
      <c r="A84" s="27">
        <v>44560</v>
      </c>
      <c r="B84" s="27" t="s">
        <v>41</v>
      </c>
      <c r="C84" s="30">
        <f>SUM(D84:R84)</f>
        <v>1020</v>
      </c>
      <c r="D84" s="31">
        <v>1020</v>
      </c>
      <c r="E84" s="31"/>
      <c r="F84" s="31"/>
      <c r="G84" s="31"/>
      <c r="H84" s="31"/>
      <c r="I84" s="31"/>
      <c r="J84" s="31"/>
      <c r="K84" s="31"/>
      <c r="L84" s="31"/>
      <c r="M84" s="31"/>
      <c r="N84" s="31"/>
      <c r="O84" s="31"/>
      <c r="P84" s="31"/>
      <c r="Q84" s="31"/>
      <c r="R84" s="31"/>
      <c r="S84" s="29">
        <f>YEAR(Tabla2[[#This Row],[Fecha]])</f>
        <v>2021</v>
      </c>
    </row>
    <row r="85" hidden="1" spans="1:19">
      <c r="A85" s="27">
        <v>44601</v>
      </c>
      <c r="B85" s="27" t="s">
        <v>22</v>
      </c>
      <c r="C85" s="30">
        <f>SUM(D85:R85)</f>
        <v>349</v>
      </c>
      <c r="D85" s="31">
        <v>349</v>
      </c>
      <c r="E85" s="31"/>
      <c r="F85" s="31"/>
      <c r="G85" s="31"/>
      <c r="H85" s="31"/>
      <c r="I85" s="31"/>
      <c r="J85" s="31"/>
      <c r="K85" s="31"/>
      <c r="L85" s="31"/>
      <c r="M85" s="31"/>
      <c r="N85" s="31"/>
      <c r="O85" s="31"/>
      <c r="P85" s="31"/>
      <c r="Q85" s="31"/>
      <c r="R85" s="31"/>
      <c r="S85" s="29">
        <f>YEAR(Tabla2[[#This Row],[Fecha]])</f>
        <v>2022</v>
      </c>
    </row>
    <row r="86" hidden="1" spans="1:19">
      <c r="A86" s="27">
        <v>44617</v>
      </c>
      <c r="B86" s="27" t="s">
        <v>31</v>
      </c>
      <c r="C86" s="30">
        <f>SUM(D86:R86)</f>
        <v>407</v>
      </c>
      <c r="D86" s="31">
        <v>407</v>
      </c>
      <c r="E86" s="31"/>
      <c r="F86" s="31"/>
      <c r="G86" s="31"/>
      <c r="H86" s="31"/>
      <c r="I86" s="31"/>
      <c r="J86" s="31"/>
      <c r="K86" s="31"/>
      <c r="L86" s="31"/>
      <c r="M86" s="31"/>
      <c r="N86" s="31"/>
      <c r="O86" s="31"/>
      <c r="P86" s="31"/>
      <c r="Q86" s="31"/>
      <c r="R86" s="31"/>
      <c r="S86" s="29">
        <f>YEAR(Tabla2[[#This Row],[Fecha]])</f>
        <v>2022</v>
      </c>
    </row>
    <row r="87" hidden="1" spans="1:19">
      <c r="A87" s="27">
        <v>44634</v>
      </c>
      <c r="B87" s="27" t="s">
        <v>33</v>
      </c>
      <c r="C87" s="30">
        <f>SUM(D87:R87)</f>
        <v>918</v>
      </c>
      <c r="D87" s="31">
        <v>918</v>
      </c>
      <c r="E87" s="31"/>
      <c r="F87" s="31"/>
      <c r="G87" s="31"/>
      <c r="H87" s="31"/>
      <c r="I87" s="31"/>
      <c r="J87" s="31"/>
      <c r="K87" s="31"/>
      <c r="L87" s="31"/>
      <c r="M87" s="31"/>
      <c r="N87" s="31"/>
      <c r="O87" s="31"/>
      <c r="P87" s="31"/>
      <c r="Q87" s="31"/>
      <c r="R87" s="31"/>
      <c r="S87" s="29">
        <f>YEAR(Tabla2[[#This Row],[Fecha]])</f>
        <v>2022</v>
      </c>
    </row>
    <row r="88" hidden="1" spans="1:19">
      <c r="A88" s="27">
        <v>44636</v>
      </c>
      <c r="B88" s="27" t="s">
        <v>37</v>
      </c>
      <c r="C88" s="30">
        <f>SUM(D88:R88)</f>
        <v>900</v>
      </c>
      <c r="D88" s="31">
        <v>900</v>
      </c>
      <c r="E88" s="31"/>
      <c r="F88" s="31"/>
      <c r="G88" s="31"/>
      <c r="H88" s="31"/>
      <c r="I88" s="31"/>
      <c r="J88" s="31"/>
      <c r="K88" s="31"/>
      <c r="L88" s="31"/>
      <c r="M88" s="31"/>
      <c r="N88" s="31"/>
      <c r="O88" s="31"/>
      <c r="P88" s="31"/>
      <c r="Q88" s="31"/>
      <c r="R88" s="31"/>
      <c r="S88" s="29">
        <f>YEAR(Tabla2[[#This Row],[Fecha]])</f>
        <v>2022</v>
      </c>
    </row>
    <row r="89" hidden="1" spans="1:19">
      <c r="A89" s="27">
        <v>44649</v>
      </c>
      <c r="B89" s="27" t="s">
        <v>42</v>
      </c>
      <c r="C89" s="30">
        <f>SUM(D89:R89)</f>
        <v>990</v>
      </c>
      <c r="D89" s="31">
        <v>990</v>
      </c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29">
        <f>YEAR(Tabla2[[#This Row],[Fecha]])</f>
        <v>2022</v>
      </c>
    </row>
    <row r="90" hidden="1" spans="1:19">
      <c r="A90" s="27">
        <v>44660</v>
      </c>
      <c r="B90" s="27" t="s">
        <v>43</v>
      </c>
      <c r="C90" s="30">
        <f>SUM(D90:R90)</f>
        <v>541</v>
      </c>
      <c r="D90" s="31">
        <v>541</v>
      </c>
      <c r="E90" s="31"/>
      <c r="F90" s="31"/>
      <c r="G90" s="31"/>
      <c r="H90" s="31"/>
      <c r="I90" s="31"/>
      <c r="J90" s="31"/>
      <c r="K90" s="31"/>
      <c r="L90" s="31"/>
      <c r="M90" s="31"/>
      <c r="N90" s="31"/>
      <c r="O90" s="31"/>
      <c r="P90" s="31"/>
      <c r="Q90" s="31"/>
      <c r="R90" s="31"/>
      <c r="S90" s="29">
        <f>YEAR(Tabla2[[#This Row],[Fecha]])</f>
        <v>2022</v>
      </c>
    </row>
    <row r="91" hidden="1" spans="1:19">
      <c r="A91" s="27">
        <v>44712</v>
      </c>
      <c r="B91" s="27" t="s">
        <v>24</v>
      </c>
      <c r="C91" s="30">
        <f>SUM(D91:R91)</f>
        <v>573</v>
      </c>
      <c r="D91" s="31">
        <v>573</v>
      </c>
      <c r="E91" s="31"/>
      <c r="F91" s="31"/>
      <c r="G91" s="31"/>
      <c r="H91" s="31"/>
      <c r="I91" s="31"/>
      <c r="J91" s="31"/>
      <c r="K91" s="31"/>
      <c r="L91" s="31"/>
      <c r="M91" s="31"/>
      <c r="N91" s="31"/>
      <c r="O91" s="31"/>
      <c r="P91" s="31"/>
      <c r="Q91" s="31"/>
      <c r="R91" s="31"/>
      <c r="S91" s="29">
        <f>YEAR(Tabla2[[#This Row],[Fecha]])</f>
        <v>2022</v>
      </c>
    </row>
    <row r="92" hidden="1" spans="1:19">
      <c r="A92" s="27">
        <v>44712</v>
      </c>
      <c r="B92" s="27" t="s">
        <v>27</v>
      </c>
      <c r="C92" s="30">
        <f>SUM(D92:R92)</f>
        <v>835</v>
      </c>
      <c r="D92" s="31">
        <v>835</v>
      </c>
      <c r="E92" s="31"/>
      <c r="F92" s="31"/>
      <c r="G92" s="31"/>
      <c r="H92" s="31"/>
      <c r="I92" s="31"/>
      <c r="J92" s="31"/>
      <c r="K92" s="31"/>
      <c r="L92" s="31"/>
      <c r="M92" s="31"/>
      <c r="N92" s="31"/>
      <c r="O92" s="31"/>
      <c r="P92" s="31"/>
      <c r="Q92" s="31"/>
      <c r="R92" s="31"/>
      <c r="S92" s="29">
        <f>YEAR(Tabla2[[#This Row],[Fecha]])</f>
        <v>2022</v>
      </c>
    </row>
    <row r="93" hidden="1" spans="1:19">
      <c r="A93" s="27">
        <v>44733</v>
      </c>
      <c r="B93" s="27" t="s">
        <v>22</v>
      </c>
      <c r="C93" s="30">
        <f>SUM(D93:R93)</f>
        <v>1063</v>
      </c>
      <c r="D93" s="31">
        <v>1063</v>
      </c>
      <c r="E93" s="31"/>
      <c r="F93" s="31"/>
      <c r="G93" s="31"/>
      <c r="H93" s="31"/>
      <c r="I93" s="31"/>
      <c r="J93" s="31"/>
      <c r="K93" s="31"/>
      <c r="L93" s="31"/>
      <c r="M93" s="31"/>
      <c r="N93" s="31"/>
      <c r="O93" s="31"/>
      <c r="P93" s="31"/>
      <c r="Q93" s="31"/>
      <c r="R93" s="31"/>
      <c r="S93" s="29">
        <f>YEAR(Tabla2[[#This Row],[Fecha]])</f>
        <v>2022</v>
      </c>
    </row>
    <row r="94" hidden="1" spans="1:19">
      <c r="A94" s="27">
        <v>44746</v>
      </c>
      <c r="B94" s="27" t="s">
        <v>26</v>
      </c>
      <c r="C94" s="30">
        <f>SUM(D94:R94)</f>
        <v>924</v>
      </c>
      <c r="D94" s="31">
        <v>924</v>
      </c>
      <c r="E94" s="31"/>
      <c r="F94" s="31"/>
      <c r="G94" s="31"/>
      <c r="H94" s="31"/>
      <c r="I94" s="31"/>
      <c r="J94" s="31"/>
      <c r="K94" s="31"/>
      <c r="L94" s="31"/>
      <c r="M94" s="31"/>
      <c r="N94" s="31"/>
      <c r="O94" s="31"/>
      <c r="P94" s="31"/>
      <c r="Q94" s="31"/>
      <c r="R94" s="31"/>
      <c r="S94" s="29">
        <f>YEAR(Tabla2[[#This Row],[Fecha]])</f>
        <v>2022</v>
      </c>
    </row>
    <row r="95" hidden="1" spans="1:19">
      <c r="A95" s="27">
        <v>44756</v>
      </c>
      <c r="B95" s="27" t="s">
        <v>40</v>
      </c>
      <c r="C95" s="30">
        <f>SUM(D95:R95)</f>
        <v>976</v>
      </c>
      <c r="D95" s="31">
        <v>976</v>
      </c>
      <c r="E95" s="31"/>
      <c r="F95" s="31"/>
      <c r="G95" s="31"/>
      <c r="H95" s="31"/>
      <c r="I95" s="31"/>
      <c r="J95" s="31"/>
      <c r="K95" s="31"/>
      <c r="L95" s="31"/>
      <c r="M95" s="31"/>
      <c r="N95" s="31"/>
      <c r="O95" s="31"/>
      <c r="P95" s="31"/>
      <c r="Q95" s="31"/>
      <c r="R95" s="31"/>
      <c r="S95" s="29">
        <f>YEAR(Tabla2[[#This Row],[Fecha]])</f>
        <v>2022</v>
      </c>
    </row>
    <row r="96" hidden="1" spans="1:19">
      <c r="A96" s="27">
        <v>44812</v>
      </c>
      <c r="B96" s="27" t="s">
        <v>25</v>
      </c>
      <c r="C96" s="30">
        <f>SUM(D96:R96)</f>
        <v>893</v>
      </c>
      <c r="D96" s="31">
        <v>893</v>
      </c>
      <c r="E96" s="31"/>
      <c r="F96" s="31"/>
      <c r="G96" s="31"/>
      <c r="H96" s="31"/>
      <c r="I96" s="31"/>
      <c r="J96" s="31"/>
      <c r="K96" s="31"/>
      <c r="L96" s="31"/>
      <c r="M96" s="31"/>
      <c r="N96" s="31"/>
      <c r="O96" s="31"/>
      <c r="P96" s="31"/>
      <c r="Q96" s="31"/>
      <c r="R96" s="31"/>
      <c r="S96" s="29">
        <f>YEAR(Tabla2[[#This Row],[Fecha]])</f>
        <v>2022</v>
      </c>
    </row>
    <row r="97" hidden="1" spans="1:19">
      <c r="A97" s="27">
        <v>44825</v>
      </c>
      <c r="B97" s="27" t="s">
        <v>34</v>
      </c>
      <c r="C97" s="30">
        <f>SUM(D97:R97)</f>
        <v>93</v>
      </c>
      <c r="D97" s="31">
        <v>93</v>
      </c>
      <c r="E97" s="31"/>
      <c r="F97" s="31"/>
      <c r="G97" s="31"/>
      <c r="H97" s="31"/>
      <c r="I97" s="31"/>
      <c r="J97" s="31"/>
      <c r="K97" s="31"/>
      <c r="L97" s="31"/>
      <c r="M97" s="31"/>
      <c r="N97" s="31"/>
      <c r="O97" s="31"/>
      <c r="P97" s="31"/>
      <c r="Q97" s="31"/>
      <c r="R97" s="31"/>
      <c r="S97" s="29">
        <f>YEAR(Tabla2[[#This Row],[Fecha]])</f>
        <v>2022</v>
      </c>
    </row>
    <row r="98" hidden="1" spans="1:19">
      <c r="A98" s="27">
        <v>44827</v>
      </c>
      <c r="B98" s="27" t="s">
        <v>31</v>
      </c>
      <c r="C98" s="30">
        <f>SUM(D98:R98)</f>
        <v>38</v>
      </c>
      <c r="D98" s="31">
        <v>38</v>
      </c>
      <c r="E98" s="31"/>
      <c r="F98" s="31"/>
      <c r="G98" s="31"/>
      <c r="H98" s="31"/>
      <c r="I98" s="31"/>
      <c r="J98" s="31"/>
      <c r="K98" s="31"/>
      <c r="L98" s="31"/>
      <c r="M98" s="31"/>
      <c r="N98" s="31"/>
      <c r="O98" s="31"/>
      <c r="P98" s="31"/>
      <c r="Q98" s="31"/>
      <c r="R98" s="31"/>
      <c r="S98" s="29">
        <f>YEAR(Tabla2[[#This Row],[Fecha]])</f>
        <v>2022</v>
      </c>
    </row>
    <row r="99" hidden="1" spans="1:19">
      <c r="A99" s="27">
        <v>44830</v>
      </c>
      <c r="B99" s="27" t="s">
        <v>31</v>
      </c>
      <c r="C99" s="30">
        <f>SUM(D99:R99)</f>
        <v>174</v>
      </c>
      <c r="D99" s="31">
        <v>174</v>
      </c>
      <c r="E99" s="31"/>
      <c r="F99" s="31"/>
      <c r="G99" s="31"/>
      <c r="H99" s="31"/>
      <c r="I99" s="31"/>
      <c r="J99" s="31"/>
      <c r="K99" s="31"/>
      <c r="L99" s="31"/>
      <c r="M99" s="31"/>
      <c r="N99" s="31"/>
      <c r="O99" s="31"/>
      <c r="P99" s="31"/>
      <c r="Q99" s="31"/>
      <c r="R99" s="31"/>
      <c r="S99" s="29">
        <f>YEAR(Tabla2[[#This Row],[Fecha]])</f>
        <v>2022</v>
      </c>
    </row>
    <row r="100" hidden="1" spans="1:19">
      <c r="A100" s="27">
        <v>44846</v>
      </c>
      <c r="B100" s="27" t="s">
        <v>28</v>
      </c>
      <c r="C100" s="30">
        <f>SUM(D100:R100)</f>
        <v>733</v>
      </c>
      <c r="D100" s="31">
        <v>733</v>
      </c>
      <c r="E100" s="31"/>
      <c r="F100" s="31"/>
      <c r="G100" s="31"/>
      <c r="H100" s="31"/>
      <c r="I100" s="31"/>
      <c r="J100" s="31"/>
      <c r="K100" s="31"/>
      <c r="L100" s="31"/>
      <c r="M100" s="31"/>
      <c r="N100" s="31"/>
      <c r="O100" s="31"/>
      <c r="P100" s="31"/>
      <c r="Q100" s="31"/>
      <c r="R100" s="31"/>
      <c r="S100" s="29">
        <f>YEAR(Tabla2[[#This Row],[Fecha]])</f>
        <v>2022</v>
      </c>
    </row>
    <row r="101" hidden="1" spans="1:19">
      <c r="A101" s="27">
        <v>44850</v>
      </c>
      <c r="B101" s="27" t="s">
        <v>31</v>
      </c>
      <c r="C101" s="30">
        <f>SUM(D101:R101)</f>
        <v>234</v>
      </c>
      <c r="D101" s="31">
        <v>234</v>
      </c>
      <c r="E101" s="31"/>
      <c r="F101" s="31"/>
      <c r="G101" s="31"/>
      <c r="H101" s="31"/>
      <c r="I101" s="31"/>
      <c r="J101" s="31"/>
      <c r="K101" s="31"/>
      <c r="L101" s="31"/>
      <c r="M101" s="31"/>
      <c r="N101" s="31"/>
      <c r="O101" s="31"/>
      <c r="P101" s="31"/>
      <c r="Q101" s="31"/>
      <c r="R101" s="31"/>
      <c r="S101" s="29">
        <f>YEAR(Tabla2[[#This Row],[Fecha]])</f>
        <v>2022</v>
      </c>
    </row>
    <row r="102" hidden="1" spans="1:19">
      <c r="A102" s="27">
        <v>44872</v>
      </c>
      <c r="B102" s="27" t="s">
        <v>33</v>
      </c>
      <c r="C102" s="30">
        <f>SUM(D102:R102)</f>
        <v>25</v>
      </c>
      <c r="D102" s="31">
        <v>25</v>
      </c>
      <c r="E102" s="31"/>
      <c r="F102" s="31"/>
      <c r="G102" s="31"/>
      <c r="H102" s="31"/>
      <c r="I102" s="31"/>
      <c r="J102" s="31"/>
      <c r="K102" s="31"/>
      <c r="L102" s="31"/>
      <c r="M102" s="31"/>
      <c r="N102" s="31"/>
      <c r="O102" s="31"/>
      <c r="P102" s="31"/>
      <c r="Q102" s="31"/>
      <c r="R102" s="31"/>
      <c r="S102" s="29">
        <f>YEAR(Tabla2[[#This Row],[Fecha]])</f>
        <v>2022</v>
      </c>
    </row>
    <row r="103" hidden="1" spans="1:19">
      <c r="A103" s="27">
        <v>44873</v>
      </c>
      <c r="B103" s="27" t="s">
        <v>28</v>
      </c>
      <c r="C103" s="30">
        <f>SUM(D103:R103)</f>
        <v>1715</v>
      </c>
      <c r="D103" s="31">
        <v>1715</v>
      </c>
      <c r="E103" s="31"/>
      <c r="F103" s="31"/>
      <c r="G103" s="31"/>
      <c r="H103" s="31"/>
      <c r="I103" s="31"/>
      <c r="J103" s="31"/>
      <c r="K103" s="31"/>
      <c r="L103" s="31"/>
      <c r="M103" s="31"/>
      <c r="N103" s="31"/>
      <c r="O103" s="31"/>
      <c r="P103" s="31"/>
      <c r="Q103" s="31"/>
      <c r="R103" s="31"/>
      <c r="S103" s="29">
        <f>YEAR(Tabla2[[#This Row],[Fecha]])</f>
        <v>2022</v>
      </c>
    </row>
    <row r="104" hidden="1" spans="1:19">
      <c r="A104" s="27">
        <v>44900</v>
      </c>
      <c r="B104" s="27" t="s">
        <v>27</v>
      </c>
      <c r="C104" s="30">
        <f>SUM(D104:R104)</f>
        <v>883</v>
      </c>
      <c r="D104" s="31">
        <v>883</v>
      </c>
      <c r="E104" s="31"/>
      <c r="F104" s="31"/>
      <c r="G104" s="31"/>
      <c r="H104" s="31"/>
      <c r="I104" s="31"/>
      <c r="J104" s="31"/>
      <c r="K104" s="31"/>
      <c r="L104" s="31"/>
      <c r="M104" s="31"/>
      <c r="N104" s="31"/>
      <c r="O104" s="31"/>
      <c r="P104" s="31"/>
      <c r="Q104" s="31"/>
      <c r="R104" s="31"/>
      <c r="S104" s="29">
        <f>YEAR(Tabla2[[#This Row],[Fecha]])</f>
        <v>2022</v>
      </c>
    </row>
    <row r="105" hidden="1" spans="1:19">
      <c r="A105" s="27">
        <v>44922</v>
      </c>
      <c r="B105" s="27" t="s">
        <v>41</v>
      </c>
      <c r="C105" s="30">
        <f>SUM(D105:R105)</f>
        <v>535</v>
      </c>
      <c r="D105" s="31">
        <v>535</v>
      </c>
      <c r="E105" s="31"/>
      <c r="F105" s="31"/>
      <c r="G105" s="31"/>
      <c r="H105" s="31"/>
      <c r="I105" s="31"/>
      <c r="J105" s="31"/>
      <c r="K105" s="31"/>
      <c r="L105" s="31"/>
      <c r="M105" s="31"/>
      <c r="N105" s="31"/>
      <c r="O105" s="31"/>
      <c r="P105" s="31"/>
      <c r="Q105" s="31"/>
      <c r="R105" s="31"/>
      <c r="S105" s="29">
        <f>YEAR(Tabla2[[#This Row],[Fecha]])</f>
        <v>2022</v>
      </c>
    </row>
    <row r="106" hidden="1" spans="1:19">
      <c r="A106" s="27">
        <v>44931</v>
      </c>
      <c r="B106" s="27" t="s">
        <v>27</v>
      </c>
      <c r="C106" s="30">
        <f>SUM(D106:R106)</f>
        <v>141</v>
      </c>
      <c r="D106" s="31">
        <v>141</v>
      </c>
      <c r="E106" s="31"/>
      <c r="F106" s="31"/>
      <c r="G106" s="31"/>
      <c r="H106" s="31"/>
      <c r="I106" s="31"/>
      <c r="J106" s="31"/>
      <c r="K106" s="31"/>
      <c r="L106" s="31"/>
      <c r="M106" s="31"/>
      <c r="N106" s="31"/>
      <c r="O106" s="31"/>
      <c r="P106" s="31"/>
      <c r="Q106" s="31"/>
      <c r="R106" s="31"/>
      <c r="S106" s="29">
        <f>YEAR(Tabla2[[#This Row],[Fecha]])</f>
        <v>2023</v>
      </c>
    </row>
    <row r="107" hidden="1" spans="1:19">
      <c r="A107" s="27">
        <v>44991</v>
      </c>
      <c r="B107" s="27" t="s">
        <v>44</v>
      </c>
      <c r="C107" s="37">
        <f>SUM(D107:R107)</f>
        <v>8</v>
      </c>
      <c r="D107" s="31">
        <v>8</v>
      </c>
      <c r="E107" s="31"/>
      <c r="F107" s="31"/>
      <c r="G107" s="31"/>
      <c r="H107" s="31"/>
      <c r="I107" s="31"/>
      <c r="J107" s="31"/>
      <c r="K107" s="31"/>
      <c r="L107" s="31"/>
      <c r="M107" s="31"/>
      <c r="N107" s="31"/>
      <c r="O107" s="31"/>
      <c r="P107" s="31"/>
      <c r="Q107" s="31"/>
      <c r="R107" s="31"/>
      <c r="S107" s="29">
        <f>YEAR(Tabla2[[#This Row],[Fecha]])</f>
        <v>2023</v>
      </c>
    </row>
    <row r="108" hidden="1" spans="1:19">
      <c r="A108" s="27">
        <v>44992</v>
      </c>
      <c r="B108" s="27" t="s">
        <v>44</v>
      </c>
      <c r="C108" s="37">
        <f>SUM(D108:R108)</f>
        <v>19</v>
      </c>
      <c r="D108" s="31">
        <v>5</v>
      </c>
      <c r="E108" s="31">
        <v>14</v>
      </c>
      <c r="F108" s="31"/>
      <c r="G108" s="31"/>
      <c r="H108" s="31"/>
      <c r="I108" s="31"/>
      <c r="J108" s="31"/>
      <c r="K108" s="31"/>
      <c r="L108" s="31"/>
      <c r="M108" s="31"/>
      <c r="N108" s="31"/>
      <c r="O108" s="31"/>
      <c r="P108" s="31"/>
      <c r="Q108" s="31"/>
      <c r="R108" s="31"/>
      <c r="S108" s="29">
        <f>YEAR(Tabla2[[#This Row],[Fecha]])</f>
        <v>2023</v>
      </c>
    </row>
    <row r="109" hidden="1" spans="1:19">
      <c r="A109" s="27">
        <v>45000</v>
      </c>
      <c r="B109" s="27" t="s">
        <v>35</v>
      </c>
      <c r="C109" s="37">
        <f>SUM(D109:R109)</f>
        <v>33</v>
      </c>
      <c r="D109" s="31">
        <v>9</v>
      </c>
      <c r="E109" s="31">
        <v>9</v>
      </c>
      <c r="F109" s="31">
        <v>15</v>
      </c>
      <c r="G109" s="31"/>
      <c r="H109" s="31"/>
      <c r="I109" s="31"/>
      <c r="J109" s="31"/>
      <c r="K109" s="31"/>
      <c r="L109" s="31"/>
      <c r="M109" s="31"/>
      <c r="N109" s="31"/>
      <c r="O109" s="31"/>
      <c r="P109" s="31"/>
      <c r="Q109" s="31"/>
      <c r="R109" s="31"/>
      <c r="S109" s="38">
        <f>YEAR(Tabla2[[#This Row],[Fecha]])</f>
        <v>2023</v>
      </c>
    </row>
    <row r="110" hidden="1" spans="1:19">
      <c r="A110" s="27">
        <v>45002</v>
      </c>
      <c r="B110" s="27" t="s">
        <v>35</v>
      </c>
      <c r="C110" s="37">
        <f>SUM(D110:R110)</f>
        <v>31</v>
      </c>
      <c r="D110" s="31">
        <v>7</v>
      </c>
      <c r="E110" s="31">
        <v>9</v>
      </c>
      <c r="F110" s="31">
        <v>15</v>
      </c>
      <c r="G110" s="31"/>
      <c r="H110" s="31"/>
      <c r="I110" s="31"/>
      <c r="J110" s="31"/>
      <c r="K110" s="31"/>
      <c r="L110" s="31"/>
      <c r="M110" s="31"/>
      <c r="N110" s="31"/>
      <c r="O110" s="31"/>
      <c r="P110" s="31"/>
      <c r="Q110" s="31"/>
      <c r="R110" s="31"/>
      <c r="S110" s="29">
        <f>YEAR(Tabla2[[#This Row],[Fecha]])</f>
        <v>2023</v>
      </c>
    </row>
    <row r="111" hidden="1" spans="1:19">
      <c r="A111" s="27">
        <v>45005</v>
      </c>
      <c r="B111" s="27" t="s">
        <v>31</v>
      </c>
      <c r="C111" s="37">
        <f>SUM(D111:R111)</f>
        <v>12</v>
      </c>
      <c r="D111" s="31">
        <v>7</v>
      </c>
      <c r="E111" s="31">
        <v>4</v>
      </c>
      <c r="F111" s="31">
        <v>1</v>
      </c>
      <c r="G111" s="31"/>
      <c r="H111" s="31"/>
      <c r="I111" s="31"/>
      <c r="J111" s="31"/>
      <c r="K111" s="31"/>
      <c r="L111" s="31"/>
      <c r="M111" s="31"/>
      <c r="N111" s="31"/>
      <c r="O111" s="31"/>
      <c r="P111" s="31"/>
      <c r="Q111" s="31"/>
      <c r="R111" s="31"/>
      <c r="S111" s="29">
        <f>YEAR(Tabla2[[#This Row],[Fecha]])</f>
        <v>2023</v>
      </c>
    </row>
    <row r="112" hidden="1" spans="1:19">
      <c r="A112" s="27">
        <v>45010</v>
      </c>
      <c r="B112" s="27" t="s">
        <v>26</v>
      </c>
      <c r="C112" s="37">
        <f>SUM(D112:R112)</f>
        <v>64</v>
      </c>
      <c r="D112" s="31">
        <v>4</v>
      </c>
      <c r="E112" s="31">
        <v>12</v>
      </c>
      <c r="F112" s="31">
        <v>5</v>
      </c>
      <c r="G112" s="31">
        <v>5</v>
      </c>
      <c r="H112" s="31">
        <v>6</v>
      </c>
      <c r="I112" s="31">
        <v>4</v>
      </c>
      <c r="J112" s="31">
        <v>14</v>
      </c>
      <c r="K112" s="31">
        <v>6</v>
      </c>
      <c r="L112" s="31">
        <v>8</v>
      </c>
      <c r="M112" s="31"/>
      <c r="N112" s="31"/>
      <c r="O112" s="31"/>
      <c r="P112" s="31"/>
      <c r="Q112" s="31"/>
      <c r="R112" s="31"/>
      <c r="S112" s="29">
        <f>YEAR(Tabla2[[#This Row],[Fecha]])</f>
        <v>2023</v>
      </c>
    </row>
    <row r="113" hidden="1" spans="1:19">
      <c r="A113" s="27">
        <v>45010</v>
      </c>
      <c r="B113" t="s">
        <v>33</v>
      </c>
      <c r="C113" s="37">
        <f>SUM(D113:R113)</f>
        <v>34</v>
      </c>
      <c r="D113" s="31">
        <v>5</v>
      </c>
      <c r="E113" s="31">
        <v>11</v>
      </c>
      <c r="F113" s="31">
        <v>7</v>
      </c>
      <c r="G113" s="31">
        <v>11</v>
      </c>
      <c r="H113" s="31"/>
      <c r="I113" s="31"/>
      <c r="J113" s="31"/>
      <c r="K113" s="31"/>
      <c r="L113" s="31"/>
      <c r="M113" s="31"/>
      <c r="N113" s="31"/>
      <c r="O113" s="31"/>
      <c r="P113" s="31"/>
      <c r="Q113" s="31"/>
      <c r="R113" s="31"/>
      <c r="S113" s="29">
        <f>YEAR(Tabla2[[#This Row],[Fecha]])</f>
        <v>2023</v>
      </c>
    </row>
    <row r="114" hidden="1" spans="1:19">
      <c r="A114" s="27">
        <v>45018</v>
      </c>
      <c r="B114" s="27" t="s">
        <v>33</v>
      </c>
      <c r="C114" s="37">
        <f>SUM(D114:R114)</f>
        <v>102</v>
      </c>
      <c r="D114" s="31">
        <v>5</v>
      </c>
      <c r="E114" s="31">
        <v>11</v>
      </c>
      <c r="F114" s="31">
        <v>7</v>
      </c>
      <c r="G114" s="31">
        <v>11</v>
      </c>
      <c r="H114" s="31">
        <v>10</v>
      </c>
      <c r="I114" s="31">
        <v>12</v>
      </c>
      <c r="J114" s="31">
        <v>11</v>
      </c>
      <c r="K114" s="31">
        <v>5</v>
      </c>
      <c r="L114" s="31">
        <v>11</v>
      </c>
      <c r="M114" s="31">
        <v>8</v>
      </c>
      <c r="N114" s="31">
        <v>7</v>
      </c>
      <c r="O114" s="31">
        <v>1</v>
      </c>
      <c r="P114" s="31">
        <v>3</v>
      </c>
      <c r="Q114" s="31"/>
      <c r="R114" s="31"/>
      <c r="S114" s="29">
        <f>YEAR(Tabla2[[#This Row],[Fecha]])</f>
        <v>2023</v>
      </c>
    </row>
    <row r="115" hidden="1" spans="1:19">
      <c r="A115" s="27">
        <v>45021</v>
      </c>
      <c r="B115" s="27" t="s">
        <v>31</v>
      </c>
      <c r="C115" s="37">
        <f>SUM(D115:R115)</f>
        <v>19</v>
      </c>
      <c r="D115" s="31">
        <v>19</v>
      </c>
      <c r="E115" s="31"/>
      <c r="F115" s="31"/>
      <c r="G115" s="31"/>
      <c r="H115" s="31"/>
      <c r="I115" s="31"/>
      <c r="J115" s="31"/>
      <c r="K115" s="31"/>
      <c r="L115" s="31"/>
      <c r="M115" s="31"/>
      <c r="N115" s="31"/>
      <c r="O115" s="31"/>
      <c r="P115" s="31"/>
      <c r="Q115" s="31"/>
      <c r="R115" s="31"/>
      <c r="S115" s="29">
        <f>YEAR(Tabla2[[#This Row],[Fecha]])</f>
        <v>2023</v>
      </c>
    </row>
    <row r="116" hidden="1" spans="1:19">
      <c r="A116" s="27">
        <v>45022</v>
      </c>
      <c r="B116" s="27" t="s">
        <v>31</v>
      </c>
      <c r="C116" s="37">
        <f>SUM(D116:R116)</f>
        <v>64</v>
      </c>
      <c r="D116" s="31">
        <v>6</v>
      </c>
      <c r="E116" s="31">
        <v>15</v>
      </c>
      <c r="F116" s="31">
        <v>19</v>
      </c>
      <c r="G116" s="31">
        <v>3</v>
      </c>
      <c r="H116" s="31">
        <v>17</v>
      </c>
      <c r="I116" s="31">
        <v>4</v>
      </c>
      <c r="J116" s="31"/>
      <c r="K116" s="31"/>
      <c r="L116" s="31"/>
      <c r="M116" s="31"/>
      <c r="N116" s="31"/>
      <c r="O116" s="31"/>
      <c r="P116" s="31"/>
      <c r="Q116" s="31"/>
      <c r="R116" s="31"/>
      <c r="S116" s="29">
        <f>YEAR(Tabla2[[#This Row],[Fecha]])</f>
        <v>2023</v>
      </c>
    </row>
    <row r="117" hidden="1" spans="1:19">
      <c r="A117" s="27">
        <v>45022</v>
      </c>
      <c r="B117" s="27" t="s">
        <v>33</v>
      </c>
      <c r="C117" s="37">
        <f>SUM(D117:R117)</f>
        <v>32</v>
      </c>
      <c r="D117" s="31">
        <v>9</v>
      </c>
      <c r="E117" s="31">
        <v>11</v>
      </c>
      <c r="F117" s="31">
        <v>12</v>
      </c>
      <c r="G117" s="31"/>
      <c r="H117" s="31"/>
      <c r="I117" s="31"/>
      <c r="J117" s="31"/>
      <c r="K117" s="31"/>
      <c r="L117" s="31"/>
      <c r="M117" s="31"/>
      <c r="N117" s="31"/>
      <c r="O117" s="31"/>
      <c r="P117" s="31"/>
      <c r="Q117" s="31"/>
      <c r="R117" s="31"/>
      <c r="S117" s="29">
        <f>YEAR(Tabla2[[#This Row],[Fecha]])</f>
        <v>2023</v>
      </c>
    </row>
    <row r="118" hidden="1" spans="1:19">
      <c r="A118" s="27">
        <v>45023</v>
      </c>
      <c r="B118" s="27" t="s">
        <v>31</v>
      </c>
      <c r="C118" s="37">
        <f>SUM(D118:R118)</f>
        <v>46</v>
      </c>
      <c r="D118" s="31">
        <v>7</v>
      </c>
      <c r="E118" s="31">
        <v>13</v>
      </c>
      <c r="F118" s="31">
        <v>14</v>
      </c>
      <c r="G118" s="31">
        <v>12</v>
      </c>
      <c r="H118" s="31"/>
      <c r="I118" s="31"/>
      <c r="J118" s="31"/>
      <c r="K118" s="31"/>
      <c r="L118" s="31"/>
      <c r="M118" s="31"/>
      <c r="N118" s="31"/>
      <c r="O118" s="31"/>
      <c r="P118" s="31"/>
      <c r="Q118" s="31"/>
      <c r="R118" s="31"/>
      <c r="S118" s="29">
        <f>YEAR(Tabla2[[#This Row],[Fecha]])</f>
        <v>2023</v>
      </c>
    </row>
    <row r="119" hidden="1" spans="1:19">
      <c r="A119" s="27">
        <v>45023</v>
      </c>
      <c r="B119" s="27" t="s">
        <v>33</v>
      </c>
      <c r="C119" s="37">
        <f>SUM(D119:R119)</f>
        <v>92</v>
      </c>
      <c r="D119" s="31">
        <v>5</v>
      </c>
      <c r="E119" s="31">
        <v>5</v>
      </c>
      <c r="F119" s="31">
        <v>6</v>
      </c>
      <c r="G119" s="31">
        <v>7</v>
      </c>
      <c r="H119" s="31">
        <v>7</v>
      </c>
      <c r="I119" s="31">
        <v>4</v>
      </c>
      <c r="J119" s="31">
        <v>7</v>
      </c>
      <c r="K119" s="31">
        <v>5</v>
      </c>
      <c r="L119" s="31">
        <v>11</v>
      </c>
      <c r="M119" s="31">
        <v>9</v>
      </c>
      <c r="N119" s="31">
        <v>3</v>
      </c>
      <c r="O119" s="31">
        <v>4</v>
      </c>
      <c r="P119" s="31">
        <v>5</v>
      </c>
      <c r="Q119" s="31">
        <v>14</v>
      </c>
      <c r="R119" s="31"/>
      <c r="S119" s="29">
        <f>YEAR(Tabla2[[#This Row],[Fecha]])</f>
        <v>2023</v>
      </c>
    </row>
    <row r="120" hidden="1" spans="1:19">
      <c r="A120" s="27">
        <v>45024</v>
      </c>
      <c r="B120" s="27" t="s">
        <v>33</v>
      </c>
      <c r="C120" s="37">
        <f>SUM(D120:R120)</f>
        <v>84</v>
      </c>
      <c r="D120" s="31">
        <v>3</v>
      </c>
      <c r="E120" s="31">
        <v>3</v>
      </c>
      <c r="F120" s="31">
        <v>11</v>
      </c>
      <c r="G120" s="31">
        <v>7</v>
      </c>
      <c r="H120" s="31">
        <v>8</v>
      </c>
      <c r="I120" s="31">
        <v>8</v>
      </c>
      <c r="J120" s="31">
        <v>13</v>
      </c>
      <c r="K120" s="31">
        <v>7</v>
      </c>
      <c r="L120" s="31">
        <v>24</v>
      </c>
      <c r="M120" s="31"/>
      <c r="N120" s="31"/>
      <c r="O120" s="31"/>
      <c r="P120" s="31"/>
      <c r="Q120" s="31"/>
      <c r="R120" s="31"/>
      <c r="S120" s="29">
        <f>YEAR(Tabla2[[#This Row],[Fecha]])</f>
        <v>2023</v>
      </c>
    </row>
    <row r="121" hidden="1" spans="1:19">
      <c r="A121" s="27">
        <v>45025</v>
      </c>
      <c r="B121" s="27" t="s">
        <v>33</v>
      </c>
      <c r="C121" s="37">
        <f>SUM(D121:R121)</f>
        <v>83</v>
      </c>
      <c r="D121" s="31">
        <v>4</v>
      </c>
      <c r="E121" s="31">
        <v>7</v>
      </c>
      <c r="F121" s="31">
        <v>15</v>
      </c>
      <c r="G121" s="31">
        <v>7</v>
      </c>
      <c r="H121" s="31">
        <v>11</v>
      </c>
      <c r="I121" s="31">
        <v>12</v>
      </c>
      <c r="J121" s="31">
        <v>6</v>
      </c>
      <c r="K121" s="31">
        <v>12</v>
      </c>
      <c r="L121" s="31">
        <v>9</v>
      </c>
      <c r="M121" s="31"/>
      <c r="N121" s="31"/>
      <c r="O121" s="31"/>
      <c r="P121" s="31"/>
      <c r="Q121" s="31"/>
      <c r="R121" s="31"/>
      <c r="S121" s="29">
        <f>YEAR(Tabla2[[#This Row],[Fecha]])</f>
        <v>2023</v>
      </c>
    </row>
    <row r="122" hidden="1" spans="1:19">
      <c r="A122" s="27">
        <v>45026</v>
      </c>
      <c r="B122" s="27" t="s">
        <v>31</v>
      </c>
      <c r="C122" s="37">
        <f>SUM(D122:R122)</f>
        <v>30</v>
      </c>
      <c r="D122" s="31">
        <v>18</v>
      </c>
      <c r="E122" s="31">
        <v>12</v>
      </c>
      <c r="F122" s="31"/>
      <c r="G122" s="31"/>
      <c r="H122" s="31"/>
      <c r="I122" s="31"/>
      <c r="J122" s="31"/>
      <c r="K122" s="31"/>
      <c r="L122" s="31"/>
      <c r="M122" s="31"/>
      <c r="N122" s="31"/>
      <c r="O122" s="31"/>
      <c r="P122" s="31"/>
      <c r="Q122" s="31"/>
      <c r="R122" s="31"/>
      <c r="S122" s="29">
        <f>YEAR(Tabla2[[#This Row],[Fecha]])</f>
        <v>2023</v>
      </c>
    </row>
    <row r="123" hidden="1" spans="1:19">
      <c r="A123" s="27">
        <v>45027</v>
      </c>
      <c r="B123" s="27" t="s">
        <v>31</v>
      </c>
      <c r="C123" s="37">
        <f>SUM(D123:R123)</f>
        <v>41</v>
      </c>
      <c r="D123" s="31">
        <v>10</v>
      </c>
      <c r="E123" s="31">
        <v>15</v>
      </c>
      <c r="F123" s="31">
        <v>16</v>
      </c>
      <c r="G123" s="31"/>
      <c r="H123" s="31"/>
      <c r="I123" s="31"/>
      <c r="J123" s="31"/>
      <c r="K123" s="31"/>
      <c r="L123" s="31"/>
      <c r="M123" s="31"/>
      <c r="N123" s="31"/>
      <c r="O123" s="31"/>
      <c r="P123" s="31"/>
      <c r="Q123" s="31"/>
      <c r="R123" s="31"/>
      <c r="S123" s="29">
        <f>YEAR(Tabla2[[#This Row],[Fecha]])</f>
        <v>2023</v>
      </c>
    </row>
    <row r="124" hidden="1" spans="1:19">
      <c r="A124" s="27">
        <v>45028</v>
      </c>
      <c r="B124" s="27" t="s">
        <v>31</v>
      </c>
      <c r="C124" s="37">
        <f>SUM(D124:R124)</f>
        <v>56</v>
      </c>
      <c r="D124" s="31">
        <v>23</v>
      </c>
      <c r="E124" s="31">
        <v>33</v>
      </c>
      <c r="F124" s="31"/>
      <c r="G124" s="31"/>
      <c r="H124" s="31"/>
      <c r="I124" s="31"/>
      <c r="J124" s="31"/>
      <c r="K124" s="31"/>
      <c r="L124" s="31"/>
      <c r="M124" s="31"/>
      <c r="N124" s="31"/>
      <c r="O124" s="31"/>
      <c r="P124" s="31"/>
      <c r="Q124" s="31"/>
      <c r="R124" s="31"/>
      <c r="S124" s="29">
        <f>YEAR(Tabla2[[#This Row],[Fecha]])</f>
        <v>2023</v>
      </c>
    </row>
    <row r="125" hidden="1" spans="1:19">
      <c r="A125" s="27">
        <v>45029</v>
      </c>
      <c r="B125" s="27" t="s">
        <v>31</v>
      </c>
      <c r="C125" s="37">
        <f>SUM(D125:R125)</f>
        <v>38</v>
      </c>
      <c r="D125" s="31">
        <v>28</v>
      </c>
      <c r="E125" s="31">
        <v>10</v>
      </c>
      <c r="F125" s="31"/>
      <c r="G125" s="31"/>
      <c r="H125" s="31"/>
      <c r="I125" s="31"/>
      <c r="J125" s="31"/>
      <c r="K125" s="31"/>
      <c r="L125" s="31"/>
      <c r="M125" s="31"/>
      <c r="N125" s="31"/>
      <c r="O125" s="31"/>
      <c r="P125" s="31"/>
      <c r="Q125" s="31"/>
      <c r="R125" s="31"/>
      <c r="S125" s="29">
        <f>YEAR(Tabla2[[#This Row],[Fecha]])</f>
        <v>2023</v>
      </c>
    </row>
    <row r="126" hidden="1" spans="1:19">
      <c r="A126" s="27">
        <v>45030</v>
      </c>
      <c r="B126" s="27" t="s">
        <v>31</v>
      </c>
      <c r="C126" s="37">
        <f>SUM(D126:R126)</f>
        <v>42</v>
      </c>
      <c r="D126" s="31">
        <v>14</v>
      </c>
      <c r="E126" s="31">
        <v>7</v>
      </c>
      <c r="F126" s="31">
        <v>12</v>
      </c>
      <c r="G126" s="31">
        <v>9</v>
      </c>
      <c r="H126" s="31"/>
      <c r="I126" s="31"/>
      <c r="J126" s="31"/>
      <c r="K126" s="31"/>
      <c r="L126" s="31"/>
      <c r="M126" s="31"/>
      <c r="N126" s="31"/>
      <c r="O126" s="31"/>
      <c r="P126" s="31"/>
      <c r="Q126" s="31"/>
      <c r="R126" s="31"/>
      <c r="S126" s="29">
        <f>YEAR(Tabla2[[#This Row],[Fecha]])</f>
        <v>2023</v>
      </c>
    </row>
    <row r="127" hidden="1" spans="1:19">
      <c r="A127" s="27">
        <v>45031</v>
      </c>
      <c r="B127" s="27" t="s">
        <v>33</v>
      </c>
      <c r="C127" s="37">
        <f>SUM(D127:R127)</f>
        <v>234</v>
      </c>
      <c r="D127" s="31">
        <v>33</v>
      </c>
      <c r="E127" s="31">
        <v>15</v>
      </c>
      <c r="F127" s="31">
        <v>9</v>
      </c>
      <c r="G127" s="31">
        <v>3</v>
      </c>
      <c r="H127" s="31">
        <v>23</v>
      </c>
      <c r="I127" s="31">
        <v>6</v>
      </c>
      <c r="J127" s="31">
        <v>9</v>
      </c>
      <c r="K127" s="31">
        <v>12</v>
      </c>
      <c r="L127" s="31">
        <v>6</v>
      </c>
      <c r="M127" s="31">
        <v>6</v>
      </c>
      <c r="N127" s="31">
        <v>5</v>
      </c>
      <c r="O127" s="31">
        <v>14</v>
      </c>
      <c r="P127" s="31">
        <v>10</v>
      </c>
      <c r="Q127" s="31">
        <f>4+12+7+16+7</f>
        <v>46</v>
      </c>
      <c r="R127" s="31">
        <f>14+12+11</f>
        <v>37</v>
      </c>
      <c r="S127" s="29">
        <f>YEAR(Tabla2[[#This Row],[Fecha]])</f>
        <v>2023</v>
      </c>
    </row>
    <row r="128" hidden="1" spans="1:19">
      <c r="A128" s="27">
        <v>45032</v>
      </c>
      <c r="B128" s="27" t="s">
        <v>31</v>
      </c>
      <c r="C128" s="37">
        <f>SUM(D128:R128)</f>
        <v>44</v>
      </c>
      <c r="D128" s="31">
        <v>13</v>
      </c>
      <c r="E128" s="31">
        <v>13</v>
      </c>
      <c r="F128" s="31">
        <v>18</v>
      </c>
      <c r="G128" s="31"/>
      <c r="H128" s="31"/>
      <c r="I128" s="31"/>
      <c r="J128" s="31"/>
      <c r="K128" s="31"/>
      <c r="L128" s="31"/>
      <c r="M128" s="31"/>
      <c r="N128" s="31"/>
      <c r="O128" s="31"/>
      <c r="P128" s="31"/>
      <c r="Q128" s="31"/>
      <c r="R128" s="31"/>
      <c r="S128" s="29">
        <f>YEAR(Tabla2[[#This Row],[Fecha]])</f>
        <v>2023</v>
      </c>
    </row>
    <row r="129" hidden="1" spans="1:19">
      <c r="A129" s="27">
        <v>45033</v>
      </c>
      <c r="B129" s="27" t="s">
        <v>31</v>
      </c>
      <c r="C129" s="37">
        <f>SUM(D129:R129)</f>
        <v>93</v>
      </c>
      <c r="D129" s="31">
        <v>30</v>
      </c>
      <c r="E129" s="31">
        <v>11</v>
      </c>
      <c r="F129" s="31">
        <v>19</v>
      </c>
      <c r="G129" s="31">
        <v>33</v>
      </c>
      <c r="H129" s="31"/>
      <c r="I129" s="31"/>
      <c r="J129" s="31"/>
      <c r="K129" s="31"/>
      <c r="L129" s="31"/>
      <c r="M129" s="31"/>
      <c r="N129" s="31"/>
      <c r="O129" s="31"/>
      <c r="P129" s="31"/>
      <c r="Q129" s="31"/>
      <c r="R129" s="31"/>
      <c r="S129" s="29">
        <f>YEAR(Tabla2[[#This Row],[Fecha]])</f>
        <v>2023</v>
      </c>
    </row>
    <row r="130" hidden="1" spans="1:19">
      <c r="A130" s="27">
        <v>45034</v>
      </c>
      <c r="B130" s="27" t="s">
        <v>31</v>
      </c>
      <c r="C130" s="37">
        <f>SUM(D130:R130)</f>
        <v>23</v>
      </c>
      <c r="D130" s="31">
        <v>11</v>
      </c>
      <c r="E130" s="31">
        <v>12</v>
      </c>
      <c r="F130" s="31"/>
      <c r="G130" s="31"/>
      <c r="H130" s="31"/>
      <c r="I130" s="31"/>
      <c r="J130" s="31"/>
      <c r="K130" s="31"/>
      <c r="L130" s="31"/>
      <c r="M130" s="31"/>
      <c r="N130" s="31"/>
      <c r="O130" s="31"/>
      <c r="P130" s="31"/>
      <c r="Q130" s="31"/>
      <c r="R130" s="31"/>
      <c r="S130" s="29">
        <f>YEAR(Tabla2[[#This Row],[Fecha]])</f>
        <v>2023</v>
      </c>
    </row>
    <row r="131" hidden="1" spans="1:19">
      <c r="A131" s="27">
        <v>45036</v>
      </c>
      <c r="B131" s="27" t="s">
        <v>31</v>
      </c>
      <c r="C131" s="37">
        <f>SUM(D131:R131)</f>
        <v>46</v>
      </c>
      <c r="D131" s="31">
        <v>11</v>
      </c>
      <c r="E131" s="31">
        <v>8</v>
      </c>
      <c r="F131" s="31">
        <v>9</v>
      </c>
      <c r="G131" s="31">
        <v>4</v>
      </c>
      <c r="H131" s="31">
        <v>8</v>
      </c>
      <c r="I131" s="31">
        <v>2</v>
      </c>
      <c r="J131" s="31">
        <v>4</v>
      </c>
      <c r="K131" s="31"/>
      <c r="L131" s="31"/>
      <c r="M131" s="31"/>
      <c r="N131" s="31"/>
      <c r="O131" s="31"/>
      <c r="P131" s="31"/>
      <c r="Q131" s="31"/>
      <c r="R131" s="31"/>
      <c r="S131" s="29">
        <f>YEAR(Tabla2[[#This Row],[Fecha]])</f>
        <v>2023</v>
      </c>
    </row>
    <row r="132" hidden="1" spans="1:19">
      <c r="A132" s="27">
        <v>45037</v>
      </c>
      <c r="B132" s="27" t="s">
        <v>31</v>
      </c>
      <c r="C132" s="37">
        <f>SUM(D132:R132)</f>
        <v>14</v>
      </c>
      <c r="D132" s="31">
        <v>4</v>
      </c>
      <c r="E132" s="31">
        <v>1</v>
      </c>
      <c r="F132" s="31">
        <v>6</v>
      </c>
      <c r="G132" s="31">
        <v>3</v>
      </c>
      <c r="H132" s="31"/>
      <c r="I132" s="31"/>
      <c r="J132" s="31"/>
      <c r="K132" s="31"/>
      <c r="L132" s="31"/>
      <c r="M132" s="31"/>
      <c r="N132" s="31"/>
      <c r="O132" s="31"/>
      <c r="P132" s="31"/>
      <c r="Q132" s="31"/>
      <c r="R132" s="31"/>
      <c r="S132" s="29">
        <f>YEAR(Tabla2[[#This Row],[Fecha]])</f>
        <v>2023</v>
      </c>
    </row>
    <row r="133" hidden="1" spans="1:19">
      <c r="A133" s="27">
        <v>45038</v>
      </c>
      <c r="B133" s="27" t="s">
        <v>31</v>
      </c>
      <c r="C133" s="37">
        <f>SUM(D133:R133)</f>
        <v>110</v>
      </c>
      <c r="D133" s="31">
        <v>4</v>
      </c>
      <c r="E133" s="31">
        <v>3</v>
      </c>
      <c r="F133" s="31">
        <v>3</v>
      </c>
      <c r="G133" s="31">
        <v>5</v>
      </c>
      <c r="H133" s="31">
        <v>1</v>
      </c>
      <c r="I133" s="31">
        <v>3</v>
      </c>
      <c r="J133" s="31">
        <v>9</v>
      </c>
      <c r="K133" s="31">
        <v>2</v>
      </c>
      <c r="L133" s="31">
        <v>1</v>
      </c>
      <c r="M133" s="31">
        <v>3</v>
      </c>
      <c r="N133" s="31">
        <v>1</v>
      </c>
      <c r="O133" s="31">
        <v>3</v>
      </c>
      <c r="P133" s="31">
        <v>1</v>
      </c>
      <c r="Q133" s="31">
        <v>9</v>
      </c>
      <c r="R133" s="31">
        <f>2+4+5+7+10+8+20+6</f>
        <v>62</v>
      </c>
      <c r="S133" s="29">
        <f>YEAR(Tabla2[[#This Row],[Fecha]])</f>
        <v>2023</v>
      </c>
    </row>
    <row r="134" hidden="1" spans="1:21">
      <c r="A134" s="27">
        <v>45039</v>
      </c>
      <c r="B134" s="27" t="s">
        <v>31</v>
      </c>
      <c r="C134" s="37">
        <f>SUM(D134:R134)</f>
        <v>13</v>
      </c>
      <c r="D134" s="31">
        <v>5</v>
      </c>
      <c r="E134" s="31">
        <v>5</v>
      </c>
      <c r="F134" s="31">
        <v>2</v>
      </c>
      <c r="G134" s="31">
        <v>1</v>
      </c>
      <c r="H134" s="31"/>
      <c r="I134" s="31"/>
      <c r="J134" s="31"/>
      <c r="K134" s="31"/>
      <c r="L134" s="31"/>
      <c r="M134" s="31"/>
      <c r="N134" s="31"/>
      <c r="O134" s="31"/>
      <c r="P134" s="31"/>
      <c r="Q134" s="31"/>
      <c r="R134" s="31"/>
      <c r="S134" s="29">
        <f>YEAR(Tabla2[[#This Row],[Fecha]])</f>
        <v>2023</v>
      </c>
      <c r="U134" s="31"/>
    </row>
    <row r="135" hidden="1" spans="1:19">
      <c r="A135" s="27">
        <v>45040</v>
      </c>
      <c r="B135" s="27" t="s">
        <v>31</v>
      </c>
      <c r="C135" s="37">
        <f>SUM(D135:R135)</f>
        <v>43</v>
      </c>
      <c r="D135" s="31">
        <v>20</v>
      </c>
      <c r="E135" s="31">
        <v>23</v>
      </c>
      <c r="F135" s="31"/>
      <c r="G135" s="31"/>
      <c r="H135" s="31"/>
      <c r="I135" s="31"/>
      <c r="J135" s="31"/>
      <c r="K135" s="31"/>
      <c r="L135" s="31"/>
      <c r="M135" s="31"/>
      <c r="N135" s="31"/>
      <c r="O135" s="31"/>
      <c r="P135" s="31"/>
      <c r="Q135" s="31"/>
      <c r="R135" s="31"/>
      <c r="S135" s="29">
        <f>YEAR(Tabla2[[#This Row],[Fecha]])</f>
        <v>2023</v>
      </c>
    </row>
    <row r="136" hidden="1" spans="1:19">
      <c r="A136" s="27">
        <v>45041</v>
      </c>
      <c r="B136" s="27" t="s">
        <v>31</v>
      </c>
      <c r="C136" s="37">
        <f>SUM(D136:R136)</f>
        <v>31</v>
      </c>
      <c r="D136" s="31">
        <v>13</v>
      </c>
      <c r="E136" s="31">
        <v>18</v>
      </c>
      <c r="F136" s="31"/>
      <c r="G136" s="31"/>
      <c r="H136" s="31"/>
      <c r="I136" s="31"/>
      <c r="J136" s="31"/>
      <c r="K136" s="31"/>
      <c r="L136" s="31"/>
      <c r="M136" s="31"/>
      <c r="N136" s="31"/>
      <c r="O136" s="31"/>
      <c r="P136" s="31"/>
      <c r="Q136" s="31"/>
      <c r="R136" s="31"/>
      <c r="S136" s="29">
        <f>YEAR(Tabla2[[#This Row],[Fecha]])</f>
        <v>2023</v>
      </c>
    </row>
    <row r="137" hidden="1" spans="1:19">
      <c r="A137" s="27">
        <v>45042</v>
      </c>
      <c r="B137" s="27" t="s">
        <v>31</v>
      </c>
      <c r="C137" s="37">
        <f>SUM(D137:R137)</f>
        <v>38</v>
      </c>
      <c r="D137" s="31">
        <v>38</v>
      </c>
      <c r="E137" s="31"/>
      <c r="F137" s="31"/>
      <c r="G137" s="31"/>
      <c r="H137" s="31"/>
      <c r="I137" s="31"/>
      <c r="J137" s="31"/>
      <c r="K137" s="31"/>
      <c r="L137" s="31"/>
      <c r="M137" s="31"/>
      <c r="N137" s="31"/>
      <c r="O137" s="31"/>
      <c r="P137" s="31"/>
      <c r="Q137" s="31"/>
      <c r="R137" s="31"/>
      <c r="S137" s="29">
        <f>YEAR(Tabla2[[#This Row],[Fecha]])</f>
        <v>2023</v>
      </c>
    </row>
    <row r="138" hidden="1" spans="1:19">
      <c r="A138" s="27">
        <v>45043</v>
      </c>
      <c r="B138" s="27" t="s">
        <v>31</v>
      </c>
      <c r="C138" s="37">
        <f>SUM(D138:R138)</f>
        <v>41</v>
      </c>
      <c r="D138" s="31">
        <v>5</v>
      </c>
      <c r="E138" s="31">
        <v>10</v>
      </c>
      <c r="F138" s="31">
        <v>26</v>
      </c>
      <c r="G138" s="31"/>
      <c r="H138" s="31"/>
      <c r="I138" s="31"/>
      <c r="J138" s="31"/>
      <c r="K138" s="31"/>
      <c r="L138" s="31"/>
      <c r="M138" s="31"/>
      <c r="N138" s="31"/>
      <c r="O138" s="31"/>
      <c r="P138" s="31"/>
      <c r="Q138" s="31"/>
      <c r="R138" s="31"/>
      <c r="S138" s="29">
        <f>YEAR(Tabla2[[#This Row],[Fecha]])</f>
        <v>2023</v>
      </c>
    </row>
    <row r="139" hidden="1" spans="1:19">
      <c r="A139" s="27">
        <v>45044</v>
      </c>
      <c r="B139" s="27" t="s">
        <v>31</v>
      </c>
      <c r="C139" s="37">
        <f>SUM(D139:R139)</f>
        <v>65</v>
      </c>
      <c r="D139" s="31">
        <v>21</v>
      </c>
      <c r="E139" s="31">
        <v>16</v>
      </c>
      <c r="F139" s="31">
        <v>4</v>
      </c>
      <c r="G139" s="31">
        <v>24</v>
      </c>
      <c r="H139" s="31"/>
      <c r="I139" s="31"/>
      <c r="J139" s="31"/>
      <c r="K139" s="31"/>
      <c r="L139" s="31"/>
      <c r="M139" s="31"/>
      <c r="N139" s="31"/>
      <c r="O139" s="31"/>
      <c r="P139" s="31"/>
      <c r="Q139" s="31"/>
      <c r="R139" s="31"/>
      <c r="S139" s="29">
        <f>YEAR(Tabla2[[#This Row],[Fecha]])</f>
        <v>2023</v>
      </c>
    </row>
    <row r="140" hidden="1" spans="1:19">
      <c r="A140" s="27">
        <v>45045</v>
      </c>
      <c r="B140" s="27" t="s">
        <v>31</v>
      </c>
      <c r="C140" s="37">
        <f>SUM(D140:R140)</f>
        <v>130</v>
      </c>
      <c r="D140" s="31">
        <v>24</v>
      </c>
      <c r="E140" s="31">
        <v>21</v>
      </c>
      <c r="F140" s="31">
        <v>15</v>
      </c>
      <c r="G140" s="31">
        <v>19</v>
      </c>
      <c r="H140" s="31">
        <v>12</v>
      </c>
      <c r="I140" s="31">
        <v>9</v>
      </c>
      <c r="J140" s="31">
        <v>8</v>
      </c>
      <c r="K140" s="31">
        <v>22</v>
      </c>
      <c r="L140" s="31"/>
      <c r="M140" s="31"/>
      <c r="N140" s="31"/>
      <c r="O140" s="31"/>
      <c r="P140" s="31"/>
      <c r="Q140" s="31"/>
      <c r="R140" s="31"/>
      <c r="S140" s="29">
        <f>YEAR(Tabla2[[#This Row],[Fecha]])</f>
        <v>2023</v>
      </c>
    </row>
    <row r="141" hidden="1" spans="1:19">
      <c r="A141" s="27">
        <v>45046</v>
      </c>
      <c r="B141" s="27" t="s">
        <v>31</v>
      </c>
      <c r="C141" s="37">
        <f>SUM(D141:R141)</f>
        <v>115</v>
      </c>
      <c r="D141" s="31">
        <v>28</v>
      </c>
      <c r="E141" s="31">
        <v>14</v>
      </c>
      <c r="F141" s="31">
        <v>7</v>
      </c>
      <c r="G141" s="31">
        <v>3</v>
      </c>
      <c r="H141" s="31">
        <v>11</v>
      </c>
      <c r="I141" s="31">
        <v>7</v>
      </c>
      <c r="J141" s="31">
        <v>10</v>
      </c>
      <c r="K141" s="31">
        <v>9</v>
      </c>
      <c r="L141" s="31">
        <v>14</v>
      </c>
      <c r="M141" s="31">
        <v>12</v>
      </c>
      <c r="N141" s="31"/>
      <c r="O141" s="31"/>
      <c r="P141" s="31"/>
      <c r="Q141" s="31"/>
      <c r="R141" s="31"/>
      <c r="S141" s="29">
        <f>YEAR(Tabla2[[#This Row],[Fecha]])</f>
        <v>2023</v>
      </c>
    </row>
    <row r="142" hidden="1" spans="1:19">
      <c r="A142" s="27">
        <v>45047</v>
      </c>
      <c r="B142" s="27" t="s">
        <v>31</v>
      </c>
      <c r="C142" s="37">
        <f>SUM(D142:R142)</f>
        <v>73</v>
      </c>
      <c r="D142" s="31">
        <v>12</v>
      </c>
      <c r="E142" s="31">
        <v>6</v>
      </c>
      <c r="F142" s="31">
        <v>5</v>
      </c>
      <c r="G142" s="31">
        <v>6</v>
      </c>
      <c r="H142" s="31">
        <v>8</v>
      </c>
      <c r="I142" s="31">
        <v>11</v>
      </c>
      <c r="J142" s="31">
        <v>8</v>
      </c>
      <c r="K142" s="31">
        <v>14</v>
      </c>
      <c r="L142" s="31">
        <v>3</v>
      </c>
      <c r="M142" s="31"/>
      <c r="N142" s="31"/>
      <c r="O142" s="31"/>
      <c r="P142" s="31"/>
      <c r="Q142" s="31"/>
      <c r="R142" s="31"/>
      <c r="S142" s="29">
        <f>YEAR(Tabla2[[#This Row],[Fecha]])</f>
        <v>2023</v>
      </c>
    </row>
    <row r="143" hidden="1" spans="1:19">
      <c r="A143" s="27">
        <v>45048</v>
      </c>
      <c r="B143" s="27" t="s">
        <v>31</v>
      </c>
      <c r="C143" s="37">
        <f>SUM(D143:R143)</f>
        <v>38</v>
      </c>
      <c r="D143" s="31">
        <v>19</v>
      </c>
      <c r="E143" s="31">
        <v>9</v>
      </c>
      <c r="F143" s="31">
        <v>10</v>
      </c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29">
        <f>YEAR(Tabla2[[#This Row],[Fecha]])</f>
        <v>2023</v>
      </c>
    </row>
    <row r="144" hidden="1" spans="1:19">
      <c r="A144" s="27">
        <v>45049</v>
      </c>
      <c r="B144" s="27" t="s">
        <v>31</v>
      </c>
      <c r="C144" s="37">
        <f>SUM(D144:R144)</f>
        <v>33</v>
      </c>
      <c r="D144" s="31">
        <v>10</v>
      </c>
      <c r="E144" s="31">
        <v>23</v>
      </c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29">
        <f>YEAR(Tabla2[[#This Row],[Fecha]])</f>
        <v>2023</v>
      </c>
    </row>
    <row r="145" hidden="1" spans="1:19">
      <c r="A145" s="27">
        <v>45049</v>
      </c>
      <c r="B145" s="27" t="s">
        <v>35</v>
      </c>
      <c r="C145" s="37">
        <f>SUM(D145:R145)</f>
        <v>27</v>
      </c>
      <c r="D145" s="31">
        <v>5</v>
      </c>
      <c r="E145" s="31">
        <v>11</v>
      </c>
      <c r="F145" s="31">
        <v>11</v>
      </c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29">
        <f>YEAR(Tabla2[[#This Row],[Fecha]])</f>
        <v>2023</v>
      </c>
    </row>
    <row r="146" hidden="1" spans="1:19">
      <c r="A146" s="27">
        <v>45050</v>
      </c>
      <c r="B146" s="27" t="s">
        <v>31</v>
      </c>
      <c r="C146" s="37">
        <f>SUM(D146:R146)</f>
        <v>36</v>
      </c>
      <c r="D146" s="31">
        <v>36</v>
      </c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29">
        <f>YEAR(Tabla2[[#This Row],[Fecha]])</f>
        <v>2023</v>
      </c>
    </row>
    <row r="147" hidden="1" spans="1:19">
      <c r="A147" s="27">
        <v>45051</v>
      </c>
      <c r="B147" s="27" t="s">
        <v>31</v>
      </c>
      <c r="C147" s="37">
        <f>SUM(D147:R147)</f>
        <v>31</v>
      </c>
      <c r="D147" s="31">
        <v>16</v>
      </c>
      <c r="E147" s="31">
        <v>15</v>
      </c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29">
        <f>YEAR(Tabla2[[#This Row],[Fecha]])</f>
        <v>2023</v>
      </c>
    </row>
    <row r="148" hidden="1" spans="1:19">
      <c r="A148" s="27">
        <v>45052</v>
      </c>
      <c r="B148" s="27" t="s">
        <v>31</v>
      </c>
      <c r="C148" s="37">
        <f>SUM(D148:R148)</f>
        <v>34</v>
      </c>
      <c r="D148" s="31">
        <v>34</v>
      </c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29">
        <f>YEAR(Tabla2[[#This Row],[Fecha]])</f>
        <v>2023</v>
      </c>
    </row>
    <row r="149" hidden="1" spans="1:19">
      <c r="A149" s="27">
        <v>45053</v>
      </c>
      <c r="B149" s="27" t="s">
        <v>31</v>
      </c>
      <c r="C149" s="37">
        <f>SUM(D149:R149)</f>
        <v>39</v>
      </c>
      <c r="D149" s="31">
        <v>19</v>
      </c>
      <c r="E149" s="31">
        <v>20</v>
      </c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29">
        <f>YEAR(Tabla2[[#This Row],[Fecha]])</f>
        <v>2023</v>
      </c>
    </row>
    <row r="150" hidden="1" spans="1:19">
      <c r="A150" s="27">
        <v>45058</v>
      </c>
      <c r="B150" s="27" t="s">
        <v>31</v>
      </c>
      <c r="C150" s="37">
        <f>SUM(D150:R150)</f>
        <v>21</v>
      </c>
      <c r="D150" s="31">
        <v>12</v>
      </c>
      <c r="E150" s="31">
        <v>9</v>
      </c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29">
        <f>YEAR(Tabla2[[#This Row],[Fecha]])</f>
        <v>2023</v>
      </c>
    </row>
    <row r="151" hidden="1" spans="1:19">
      <c r="A151" s="27">
        <v>45061</v>
      </c>
      <c r="B151" s="27" t="s">
        <v>31</v>
      </c>
      <c r="C151" s="37">
        <f>SUM(D151:R151)</f>
        <v>61</v>
      </c>
      <c r="D151" s="31">
        <v>61</v>
      </c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29">
        <f>YEAR(Tabla2[[#This Row],[Fecha]])</f>
        <v>2023</v>
      </c>
    </row>
    <row r="152" hidden="1" spans="1:19">
      <c r="A152" s="27">
        <v>45062</v>
      </c>
      <c r="B152" s="27" t="s">
        <v>31</v>
      </c>
      <c r="C152" s="37">
        <f>SUM(D152:R152)</f>
        <v>44</v>
      </c>
      <c r="D152" s="31">
        <v>44</v>
      </c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29">
        <f>YEAR(Tabla2[[#This Row],[Fecha]])</f>
        <v>2023</v>
      </c>
    </row>
    <row r="153" hidden="1" spans="1:19">
      <c r="A153" s="27">
        <v>45063</v>
      </c>
      <c r="B153" s="27" t="s">
        <v>31</v>
      </c>
      <c r="C153" s="37">
        <f>SUM(D153:R153)</f>
        <v>33</v>
      </c>
      <c r="D153" s="31">
        <v>33</v>
      </c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29">
        <f>YEAR(Tabla2[[#This Row],[Fecha]])</f>
        <v>2023</v>
      </c>
    </row>
    <row r="154" hidden="1" spans="1:19">
      <c r="A154" s="27">
        <v>45065</v>
      </c>
      <c r="B154" s="27" t="s">
        <v>31</v>
      </c>
      <c r="C154" s="37">
        <f>SUM(D154:R154)</f>
        <v>46</v>
      </c>
      <c r="D154" s="31">
        <v>23</v>
      </c>
      <c r="E154" s="31">
        <v>23</v>
      </c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29">
        <f>YEAR(Tabla2[[#This Row],[Fecha]])</f>
        <v>2023</v>
      </c>
    </row>
    <row r="155" hidden="1" spans="1:19">
      <c r="A155" s="27">
        <v>45068</v>
      </c>
      <c r="B155" s="27" t="s">
        <v>31</v>
      </c>
      <c r="C155" s="37">
        <f>SUM(D155:R155)</f>
        <v>31</v>
      </c>
      <c r="D155" s="31">
        <v>31</v>
      </c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29">
        <f>YEAR(Tabla2[[#This Row],[Fecha]])</f>
        <v>2023</v>
      </c>
    </row>
    <row r="156" hidden="1" spans="1:19">
      <c r="A156" s="27">
        <v>45069</v>
      </c>
      <c r="B156" s="27" t="s">
        <v>31</v>
      </c>
      <c r="C156" s="37">
        <f>SUM(D156:R156)</f>
        <v>25</v>
      </c>
      <c r="D156" s="31">
        <v>25</v>
      </c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29">
        <f>YEAR(Tabla2[[#This Row],[Fecha]])</f>
        <v>2023</v>
      </c>
    </row>
    <row r="157" hidden="1" spans="1:19">
      <c r="A157" s="27">
        <v>45070</v>
      </c>
      <c r="B157" s="27" t="s">
        <v>31</v>
      </c>
      <c r="C157" s="37">
        <f>SUM(D157:R157)</f>
        <v>18</v>
      </c>
      <c r="D157" s="31">
        <v>18</v>
      </c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29">
        <f>YEAR(Tabla2[[#This Row],[Fecha]])</f>
        <v>2023</v>
      </c>
    </row>
    <row r="158" hidden="1" spans="1:19">
      <c r="A158" s="27">
        <v>45072</v>
      </c>
      <c r="B158" s="27" t="s">
        <v>31</v>
      </c>
      <c r="C158" s="37">
        <f>SUM(D158:R158)</f>
        <v>12</v>
      </c>
      <c r="D158" s="31">
        <v>12</v>
      </c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29">
        <f>YEAR(Tabla2[[#This Row],[Fecha]])</f>
        <v>2023</v>
      </c>
    </row>
    <row r="159" hidden="1" spans="1:19">
      <c r="A159" s="27">
        <v>45073</v>
      </c>
      <c r="B159" s="27" t="s">
        <v>22</v>
      </c>
      <c r="C159" s="37">
        <f>SUM(D159:R159)</f>
        <v>12</v>
      </c>
      <c r="D159" s="31">
        <v>12</v>
      </c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29">
        <f>YEAR(Tabla2[[#This Row],[Fecha]])</f>
        <v>2023</v>
      </c>
    </row>
    <row r="160" hidden="1" spans="1:19">
      <c r="A160" s="27">
        <v>45074</v>
      </c>
      <c r="B160" s="27" t="s">
        <v>22</v>
      </c>
      <c r="C160" s="37">
        <f>SUM(D160:R160)</f>
        <v>34</v>
      </c>
      <c r="D160" s="31">
        <v>18</v>
      </c>
      <c r="E160" s="31">
        <v>16</v>
      </c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29">
        <f>YEAR(Tabla2[[#This Row],[Fecha]])</f>
        <v>2023</v>
      </c>
    </row>
    <row r="161" hidden="1" spans="1:19">
      <c r="A161" s="27">
        <v>45074</v>
      </c>
      <c r="B161" s="27" t="s">
        <v>31</v>
      </c>
      <c r="C161" s="37">
        <f>SUM(D161:R161)</f>
        <v>63</v>
      </c>
      <c r="D161" s="31">
        <v>4</v>
      </c>
      <c r="E161" s="31">
        <v>7</v>
      </c>
      <c r="F161" s="31">
        <v>4</v>
      </c>
      <c r="G161" s="31">
        <v>7</v>
      </c>
      <c r="H161" s="31">
        <v>24</v>
      </c>
      <c r="I161" s="31">
        <v>4</v>
      </c>
      <c r="J161" s="31">
        <v>10</v>
      </c>
      <c r="K161" s="31">
        <v>3</v>
      </c>
      <c r="L161" s="31"/>
      <c r="M161" s="31"/>
      <c r="N161" s="31"/>
      <c r="O161" s="31"/>
      <c r="P161" s="31"/>
      <c r="Q161" s="31"/>
      <c r="R161" s="31"/>
      <c r="S161" s="29">
        <f>YEAR(Tabla2[[#This Row],[Fecha]])</f>
        <v>2023</v>
      </c>
    </row>
    <row r="162" hidden="1" spans="1:19">
      <c r="A162" s="27">
        <v>45075</v>
      </c>
      <c r="B162" s="27" t="s">
        <v>31</v>
      </c>
      <c r="C162" s="37">
        <f>SUM(D162:R162)</f>
        <v>26</v>
      </c>
      <c r="D162" s="31">
        <v>12</v>
      </c>
      <c r="E162" s="31">
        <v>14</v>
      </c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29">
        <f>YEAR(Tabla2[[#This Row],[Fecha]])</f>
        <v>2023</v>
      </c>
    </row>
    <row r="163" hidden="1" spans="1:19">
      <c r="A163" s="27">
        <v>45077</v>
      </c>
      <c r="B163" s="27" t="s">
        <v>31</v>
      </c>
      <c r="C163" s="37">
        <f>SUM(D163:R163)</f>
        <v>37</v>
      </c>
      <c r="D163" s="31">
        <v>37</v>
      </c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29">
        <f>YEAR(Tabla2[[#This Row],[Fecha]])</f>
        <v>2023</v>
      </c>
    </row>
    <row r="164" hidden="1" spans="1:19">
      <c r="A164" s="27">
        <v>45130</v>
      </c>
      <c r="B164" s="27" t="s">
        <v>31</v>
      </c>
      <c r="C164" s="37">
        <f>SUM(D164:R164)</f>
        <v>26</v>
      </c>
      <c r="D164" s="31">
        <v>14</v>
      </c>
      <c r="E164" s="31">
        <v>12</v>
      </c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29">
        <f>YEAR(Tabla2[[#This Row],[Fecha]])</f>
        <v>2023</v>
      </c>
    </row>
    <row r="165" hidden="1" spans="1:19">
      <c r="A165" s="27">
        <v>45131</v>
      </c>
      <c r="B165" s="27" t="s">
        <v>31</v>
      </c>
      <c r="C165" s="37">
        <f>SUM(D165:R165)</f>
        <v>48</v>
      </c>
      <c r="D165" s="31">
        <v>31</v>
      </c>
      <c r="E165" s="31">
        <v>12</v>
      </c>
      <c r="F165" s="31">
        <v>5</v>
      </c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29">
        <f>YEAR(Tabla2[[#This Row],[Fecha]])</f>
        <v>2023</v>
      </c>
    </row>
    <row r="166" hidden="1" spans="1:19">
      <c r="A166" s="27">
        <v>45132</v>
      </c>
      <c r="B166" s="27" t="s">
        <v>28</v>
      </c>
      <c r="C166" s="37">
        <f>SUM(D166:R166)</f>
        <v>2</v>
      </c>
      <c r="D166" s="31">
        <v>2</v>
      </c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29">
        <f>YEAR(Tabla2[[#This Row],[Fecha]])</f>
        <v>2023</v>
      </c>
    </row>
    <row r="167" hidden="1" spans="1:19">
      <c r="A167" s="27">
        <v>45132</v>
      </c>
      <c r="B167" s="27" t="s">
        <v>26</v>
      </c>
      <c r="C167" s="37">
        <f>SUM(D167:R167)</f>
        <v>70</v>
      </c>
      <c r="D167" s="31">
        <v>1</v>
      </c>
      <c r="E167" s="31">
        <v>1</v>
      </c>
      <c r="F167" s="31">
        <v>1</v>
      </c>
      <c r="G167" s="31">
        <v>11</v>
      </c>
      <c r="H167" s="31">
        <v>11</v>
      </c>
      <c r="I167" s="31">
        <v>5</v>
      </c>
      <c r="J167" s="31">
        <v>5</v>
      </c>
      <c r="K167" s="31">
        <v>2</v>
      </c>
      <c r="L167" s="31">
        <v>5</v>
      </c>
      <c r="M167" s="31">
        <v>8</v>
      </c>
      <c r="N167" s="31">
        <v>20</v>
      </c>
      <c r="O167" s="31"/>
      <c r="P167" s="31"/>
      <c r="Q167" s="31"/>
      <c r="R167" s="31"/>
      <c r="S167" s="29">
        <f>YEAR(Tabla2[[#This Row],[Fecha]])</f>
        <v>2023</v>
      </c>
    </row>
    <row r="168" hidden="1" spans="1:19">
      <c r="A168" s="27">
        <v>45133</v>
      </c>
      <c r="B168" s="27" t="s">
        <v>26</v>
      </c>
      <c r="C168" s="37">
        <f>SUM(D168:R168)</f>
        <v>12</v>
      </c>
      <c r="D168" s="31">
        <v>4</v>
      </c>
      <c r="E168" s="31">
        <v>4</v>
      </c>
      <c r="F168" s="31">
        <v>4</v>
      </c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29">
        <f>YEAR(Tabla2[[#This Row],[Fecha]])</f>
        <v>2023</v>
      </c>
    </row>
    <row r="169" hidden="1" spans="1:19">
      <c r="A169" s="27">
        <v>45133</v>
      </c>
      <c r="B169" s="27" t="s">
        <v>33</v>
      </c>
      <c r="C169" s="37">
        <f>SUM(D169:R169)</f>
        <v>48</v>
      </c>
      <c r="D169" s="31">
        <v>6</v>
      </c>
      <c r="E169" s="31">
        <v>2</v>
      </c>
      <c r="F169" s="31">
        <v>8</v>
      </c>
      <c r="G169" s="31">
        <v>7</v>
      </c>
      <c r="H169" s="31">
        <v>3</v>
      </c>
      <c r="I169" s="31">
        <v>3</v>
      </c>
      <c r="J169" s="31">
        <v>3</v>
      </c>
      <c r="K169" s="31">
        <v>5</v>
      </c>
      <c r="L169" s="31">
        <v>5</v>
      </c>
      <c r="M169" s="31">
        <v>6</v>
      </c>
      <c r="N169" s="31"/>
      <c r="O169" s="31"/>
      <c r="P169" s="31"/>
      <c r="Q169" s="31"/>
      <c r="R169" s="31"/>
      <c r="S169" s="29">
        <f>YEAR(Tabla2[[#This Row],[Fecha]])</f>
        <v>2023</v>
      </c>
    </row>
    <row r="170" hidden="1" spans="1:19">
      <c r="A170" s="27">
        <v>45134</v>
      </c>
      <c r="B170" s="27" t="s">
        <v>33</v>
      </c>
      <c r="C170" s="37">
        <f>SUM(D170:R170)</f>
        <v>45</v>
      </c>
      <c r="D170" s="31">
        <v>3</v>
      </c>
      <c r="E170" s="31">
        <v>4</v>
      </c>
      <c r="F170" s="31">
        <v>4</v>
      </c>
      <c r="G170" s="31">
        <v>3</v>
      </c>
      <c r="H170" s="31">
        <v>1</v>
      </c>
      <c r="I170" s="31">
        <v>3</v>
      </c>
      <c r="J170" s="31">
        <v>1</v>
      </c>
      <c r="K170" s="31">
        <v>3</v>
      </c>
      <c r="L170" s="31">
        <v>4</v>
      </c>
      <c r="M170" s="31">
        <v>8</v>
      </c>
      <c r="N170" s="31">
        <v>1</v>
      </c>
      <c r="O170" s="31">
        <v>5</v>
      </c>
      <c r="P170" s="31">
        <v>5</v>
      </c>
      <c r="Q170" s="31"/>
      <c r="R170" s="31"/>
      <c r="S170" s="29">
        <f>YEAR(Tabla2[[#This Row],[Fecha]])</f>
        <v>2023</v>
      </c>
    </row>
    <row r="171" hidden="1" spans="1:19">
      <c r="A171" s="27">
        <v>45135</v>
      </c>
      <c r="B171" s="27" t="s">
        <v>33</v>
      </c>
      <c r="C171" s="37">
        <f>SUM(D171:R171)</f>
        <v>52</v>
      </c>
      <c r="D171" s="31">
        <v>3</v>
      </c>
      <c r="E171" s="31">
        <v>14</v>
      </c>
      <c r="F171" s="31">
        <v>4</v>
      </c>
      <c r="G171" s="31">
        <v>6</v>
      </c>
      <c r="H171" s="31">
        <v>2</v>
      </c>
      <c r="I171" s="31">
        <v>2</v>
      </c>
      <c r="J171" s="31">
        <v>4</v>
      </c>
      <c r="K171" s="31">
        <v>3</v>
      </c>
      <c r="L171" s="31">
        <v>6</v>
      </c>
      <c r="M171" s="31">
        <v>1</v>
      </c>
      <c r="N171" s="31">
        <v>2</v>
      </c>
      <c r="O171" s="31">
        <v>5</v>
      </c>
      <c r="P171" s="31"/>
      <c r="Q171" s="31"/>
      <c r="R171" s="31"/>
      <c r="S171" s="29">
        <f>YEAR(Tabla2[[#This Row],[Fecha]])</f>
        <v>2023</v>
      </c>
    </row>
    <row r="172" hidden="1" spans="1:19">
      <c r="A172" s="27">
        <v>45136</v>
      </c>
      <c r="B172" s="27" t="s">
        <v>33</v>
      </c>
      <c r="C172" s="37">
        <f>SUM(D172:R172)</f>
        <v>62</v>
      </c>
      <c r="D172" s="31">
        <v>3</v>
      </c>
      <c r="E172" s="31">
        <v>5</v>
      </c>
      <c r="F172" s="31">
        <v>3</v>
      </c>
      <c r="G172" s="31">
        <v>7</v>
      </c>
      <c r="H172" s="31">
        <v>3</v>
      </c>
      <c r="I172" s="31">
        <v>4</v>
      </c>
      <c r="J172" s="31">
        <v>1</v>
      </c>
      <c r="K172" s="31">
        <v>5</v>
      </c>
      <c r="L172" s="31">
        <v>3</v>
      </c>
      <c r="M172" s="31">
        <v>2</v>
      </c>
      <c r="N172" s="31">
        <v>3</v>
      </c>
      <c r="O172" s="31">
        <v>5</v>
      </c>
      <c r="P172" s="31">
        <v>3</v>
      </c>
      <c r="Q172" s="31">
        <v>4</v>
      </c>
      <c r="R172" s="31">
        <f>3+4+4</f>
        <v>11</v>
      </c>
      <c r="S172" s="29">
        <f>YEAR(Tabla2[[#This Row],[Fecha]])</f>
        <v>2023</v>
      </c>
    </row>
    <row r="173" hidden="1" spans="1:19">
      <c r="A173" s="27">
        <v>45137</v>
      </c>
      <c r="B173" s="27" t="s">
        <v>33</v>
      </c>
      <c r="C173" s="37">
        <f>SUM(D173:R173)</f>
        <v>35</v>
      </c>
      <c r="D173" s="31">
        <v>9</v>
      </c>
      <c r="E173" s="31">
        <v>5</v>
      </c>
      <c r="F173" s="31">
        <v>1</v>
      </c>
      <c r="G173" s="31">
        <v>2</v>
      </c>
      <c r="H173" s="31">
        <v>4</v>
      </c>
      <c r="I173" s="31">
        <v>2</v>
      </c>
      <c r="J173" s="31">
        <v>2</v>
      </c>
      <c r="K173" s="31">
        <v>4</v>
      </c>
      <c r="L173" s="31">
        <v>6</v>
      </c>
      <c r="M173" s="31"/>
      <c r="N173" s="31"/>
      <c r="O173" s="31"/>
      <c r="P173" s="31"/>
      <c r="Q173" s="31"/>
      <c r="R173" s="31"/>
      <c r="S173" s="29">
        <f>YEAR(Tabla2[[#This Row],[Fecha]])</f>
        <v>2023</v>
      </c>
    </row>
    <row r="174" hidden="1" spans="1:19">
      <c r="A174" s="27">
        <v>45138</v>
      </c>
      <c r="B174" s="27" t="s">
        <v>33</v>
      </c>
      <c r="C174" s="37">
        <f>SUM(D174:R174)</f>
        <v>31</v>
      </c>
      <c r="D174" s="31">
        <v>1</v>
      </c>
      <c r="E174" s="31">
        <v>4</v>
      </c>
      <c r="F174" s="31">
        <v>3</v>
      </c>
      <c r="G174" s="31">
        <v>2</v>
      </c>
      <c r="H174" s="31">
        <v>3</v>
      </c>
      <c r="I174" s="31">
        <v>2</v>
      </c>
      <c r="J174" s="31">
        <v>3</v>
      </c>
      <c r="K174" s="31">
        <v>6</v>
      </c>
      <c r="L174" s="31">
        <v>2</v>
      </c>
      <c r="M174" s="31">
        <v>1</v>
      </c>
      <c r="N174" s="31">
        <v>2</v>
      </c>
      <c r="O174" s="31">
        <v>2</v>
      </c>
      <c r="P174" s="31"/>
      <c r="Q174" s="31"/>
      <c r="R174" s="31"/>
      <c r="S174" s="29">
        <f>YEAR(Tabla2[[#This Row],[Fecha]])</f>
        <v>2023</v>
      </c>
    </row>
    <row r="175" hidden="1" spans="1:22">
      <c r="A175" s="27">
        <v>45139</v>
      </c>
      <c r="B175" s="27" t="s">
        <v>33</v>
      </c>
      <c r="C175" s="37">
        <f>SUM(D175:R175)</f>
        <v>32</v>
      </c>
      <c r="D175" s="31">
        <v>9</v>
      </c>
      <c r="E175" s="31">
        <v>2</v>
      </c>
      <c r="F175" s="31">
        <v>4</v>
      </c>
      <c r="G175" s="31">
        <v>3</v>
      </c>
      <c r="H175" s="31">
        <v>1</v>
      </c>
      <c r="I175" s="31">
        <v>2</v>
      </c>
      <c r="J175" s="31">
        <v>1</v>
      </c>
      <c r="K175" s="31">
        <v>3</v>
      </c>
      <c r="L175" s="31">
        <v>7</v>
      </c>
      <c r="M175" s="31"/>
      <c r="N175" s="31"/>
      <c r="O175" s="31"/>
      <c r="P175" s="31"/>
      <c r="Q175" s="31"/>
      <c r="R175" s="31"/>
      <c r="S175" s="29">
        <f>YEAR(Tabla2[[#This Row],[Fecha]])</f>
        <v>2023</v>
      </c>
      <c r="V175" t="s">
        <v>45</v>
      </c>
    </row>
    <row r="176" hidden="1" spans="1:19">
      <c r="A176" s="27">
        <v>45140</v>
      </c>
      <c r="B176" s="27" t="s">
        <v>33</v>
      </c>
      <c r="C176" s="37">
        <f>SUM(D176:R176)</f>
        <v>34</v>
      </c>
      <c r="D176" s="31">
        <v>2</v>
      </c>
      <c r="E176" s="31">
        <v>2</v>
      </c>
      <c r="F176" s="31">
        <v>2</v>
      </c>
      <c r="G176" s="31">
        <v>10</v>
      </c>
      <c r="H176" s="31">
        <v>4</v>
      </c>
      <c r="I176" s="31">
        <v>4</v>
      </c>
      <c r="J176" s="31">
        <v>5</v>
      </c>
      <c r="K176" s="31">
        <v>2</v>
      </c>
      <c r="L176" s="31">
        <v>3</v>
      </c>
      <c r="M176" s="31"/>
      <c r="N176" s="31"/>
      <c r="O176" s="31"/>
      <c r="P176" s="31"/>
      <c r="Q176" s="31"/>
      <c r="R176" s="31"/>
      <c r="S176" s="29">
        <f>YEAR(Tabla2[[#This Row],[Fecha]])</f>
        <v>2023</v>
      </c>
    </row>
    <row r="177" hidden="1" spans="1:19">
      <c r="A177" s="27">
        <v>45141</v>
      </c>
      <c r="B177" s="27" t="s">
        <v>33</v>
      </c>
      <c r="C177" s="37">
        <f>SUM(D177:R177)</f>
        <v>25</v>
      </c>
      <c r="D177" s="31">
        <v>14</v>
      </c>
      <c r="E177" s="31">
        <v>11</v>
      </c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29">
        <f>YEAR(Tabla2[[#This Row],[Fecha]])</f>
        <v>2023</v>
      </c>
    </row>
    <row r="178" hidden="1" spans="1:19">
      <c r="A178" s="27">
        <v>45141</v>
      </c>
      <c r="B178" s="27" t="s">
        <v>31</v>
      </c>
      <c r="C178" s="37">
        <f>SUM(D178:R178)</f>
        <v>8</v>
      </c>
      <c r="D178" s="31">
        <v>8</v>
      </c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29">
        <f>YEAR(Tabla2[[#This Row],[Fecha]])</f>
        <v>2023</v>
      </c>
    </row>
    <row r="179" hidden="1" spans="1:19">
      <c r="A179" s="27">
        <v>45142</v>
      </c>
      <c r="B179" s="27" t="s">
        <v>33</v>
      </c>
      <c r="C179" s="37">
        <f>SUM(D179:R179)</f>
        <v>40</v>
      </c>
      <c r="D179" s="31">
        <v>26</v>
      </c>
      <c r="E179" s="31">
        <v>14</v>
      </c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29">
        <f>YEAR(Tabla2[[#This Row],[Fecha]])</f>
        <v>2023</v>
      </c>
    </row>
    <row r="180" hidden="1" spans="1:19">
      <c r="A180" s="27">
        <v>45143</v>
      </c>
      <c r="B180" s="27" t="s">
        <v>33</v>
      </c>
      <c r="C180" s="37">
        <f>SUM(D180:R180)</f>
        <v>36</v>
      </c>
      <c r="D180" s="31">
        <v>20</v>
      </c>
      <c r="E180" s="31">
        <v>4</v>
      </c>
      <c r="F180" s="31">
        <v>3</v>
      </c>
      <c r="G180" s="31">
        <v>5</v>
      </c>
      <c r="H180" s="31">
        <v>4</v>
      </c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29">
        <f>YEAR(Tabla2[[#This Row],[Fecha]])</f>
        <v>2023</v>
      </c>
    </row>
    <row r="181" hidden="1" spans="1:19">
      <c r="A181" s="27">
        <v>45145</v>
      </c>
      <c r="B181" s="27" t="s">
        <v>33</v>
      </c>
      <c r="C181" s="37">
        <f>SUM(D181:R181)</f>
        <v>52</v>
      </c>
      <c r="D181" s="31">
        <v>16</v>
      </c>
      <c r="E181" s="31">
        <v>7</v>
      </c>
      <c r="F181" s="31">
        <v>2</v>
      </c>
      <c r="G181" s="31">
        <v>11</v>
      </c>
      <c r="H181" s="31">
        <v>16</v>
      </c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29">
        <f>YEAR(Tabla2[[#This Row],[Fecha]])</f>
        <v>2023</v>
      </c>
    </row>
    <row r="182" hidden="1" spans="1:19">
      <c r="A182" s="27">
        <v>45147</v>
      </c>
      <c r="B182" s="27" t="s">
        <v>31</v>
      </c>
      <c r="C182" s="37">
        <f>SUM(D182:R182)</f>
        <v>72</v>
      </c>
      <c r="D182" s="31">
        <v>7</v>
      </c>
      <c r="E182" s="31">
        <v>4</v>
      </c>
      <c r="F182" s="31">
        <v>1</v>
      </c>
      <c r="G182" s="31">
        <v>6</v>
      </c>
      <c r="H182" s="31">
        <v>8</v>
      </c>
      <c r="I182" s="31">
        <v>21</v>
      </c>
      <c r="J182" s="31">
        <v>9</v>
      </c>
      <c r="K182" s="31">
        <v>16</v>
      </c>
      <c r="L182" s="31"/>
      <c r="M182" s="31"/>
      <c r="N182" s="31"/>
      <c r="O182" s="31"/>
      <c r="P182" s="31"/>
      <c r="Q182" s="31"/>
      <c r="R182" s="31"/>
      <c r="S182" s="29">
        <f>YEAR(Tabla2[[#This Row],[Fecha]])</f>
        <v>2023</v>
      </c>
    </row>
    <row r="183" hidden="1" spans="1:19">
      <c r="A183" s="27">
        <v>45148</v>
      </c>
      <c r="B183" s="27" t="s">
        <v>31</v>
      </c>
      <c r="C183" s="37">
        <f>SUM(D183:R183)</f>
        <v>142</v>
      </c>
      <c r="D183" s="31">
        <v>6</v>
      </c>
      <c r="E183" s="31">
        <v>28</v>
      </c>
      <c r="F183" s="31">
        <v>1</v>
      </c>
      <c r="G183" s="31">
        <v>9</v>
      </c>
      <c r="H183" s="31">
        <v>14</v>
      </c>
      <c r="I183" s="31">
        <v>15</v>
      </c>
      <c r="J183" s="31">
        <v>8</v>
      </c>
      <c r="K183" s="31">
        <v>7</v>
      </c>
      <c r="L183" s="31">
        <v>7</v>
      </c>
      <c r="M183" s="31">
        <v>10</v>
      </c>
      <c r="N183" s="31">
        <v>4</v>
      </c>
      <c r="O183" s="31">
        <v>10</v>
      </c>
      <c r="P183" s="31">
        <v>12</v>
      </c>
      <c r="Q183" s="31">
        <v>3</v>
      </c>
      <c r="R183" s="31">
        <v>8</v>
      </c>
      <c r="S183" s="29">
        <f>YEAR(Tabla2[[#This Row],[Fecha]])</f>
        <v>2023</v>
      </c>
    </row>
    <row r="184" hidden="1" spans="1:19">
      <c r="A184" s="27">
        <v>45148</v>
      </c>
      <c r="B184" s="27" t="s">
        <v>31</v>
      </c>
      <c r="C184" s="37">
        <f>SUM(D184:R184)</f>
        <v>87</v>
      </c>
      <c r="D184" s="31">
        <v>8</v>
      </c>
      <c r="E184" s="31">
        <v>8</v>
      </c>
      <c r="F184" s="31">
        <v>11</v>
      </c>
      <c r="G184" s="31">
        <v>10</v>
      </c>
      <c r="H184" s="31">
        <v>14</v>
      </c>
      <c r="I184" s="31">
        <v>18</v>
      </c>
      <c r="J184" s="31">
        <v>6</v>
      </c>
      <c r="K184" s="31">
        <v>8</v>
      </c>
      <c r="L184" s="31">
        <v>4</v>
      </c>
      <c r="M184" s="31"/>
      <c r="N184" s="31"/>
      <c r="O184" s="31"/>
      <c r="P184" s="31"/>
      <c r="Q184" s="31"/>
      <c r="R184" s="31"/>
      <c r="S184" s="29">
        <f>YEAR(Tabla2[[#This Row],[Fecha]])</f>
        <v>2023</v>
      </c>
    </row>
    <row r="185" hidden="1" spans="1:19">
      <c r="A185" s="27">
        <v>45149</v>
      </c>
      <c r="B185" s="27" t="s">
        <v>31</v>
      </c>
      <c r="C185" s="37">
        <f>SUM(D185:R185)</f>
        <v>39</v>
      </c>
      <c r="D185" s="31">
        <v>9</v>
      </c>
      <c r="E185" s="31">
        <v>14</v>
      </c>
      <c r="F185" s="31">
        <v>5</v>
      </c>
      <c r="G185" s="31">
        <v>11</v>
      </c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29">
        <f>YEAR(Tabla2[[#This Row],[Fecha]])</f>
        <v>2023</v>
      </c>
    </row>
    <row r="186" hidden="1" spans="1:19">
      <c r="A186" s="27">
        <v>45152</v>
      </c>
      <c r="B186" s="27" t="s">
        <v>31</v>
      </c>
      <c r="C186" s="37">
        <f>SUM(D186:R186)</f>
        <v>35</v>
      </c>
      <c r="D186" s="31">
        <v>13</v>
      </c>
      <c r="E186" s="31">
        <v>3</v>
      </c>
      <c r="F186" s="31">
        <v>7</v>
      </c>
      <c r="G186" s="31">
        <v>12</v>
      </c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29">
        <f>YEAR(Tabla2[[#This Row],[Fecha]])</f>
        <v>2023</v>
      </c>
    </row>
    <row r="187" hidden="1" spans="1:19">
      <c r="A187" s="27">
        <v>45154</v>
      </c>
      <c r="B187" s="27" t="s">
        <v>31</v>
      </c>
      <c r="C187" s="37">
        <f>SUM(D187:R187)</f>
        <v>67</v>
      </c>
      <c r="D187" s="31">
        <v>12</v>
      </c>
      <c r="E187" s="31">
        <v>11</v>
      </c>
      <c r="F187" s="31">
        <v>3</v>
      </c>
      <c r="G187" s="31">
        <v>4</v>
      </c>
      <c r="H187" s="31">
        <v>17</v>
      </c>
      <c r="I187" s="31">
        <v>11</v>
      </c>
      <c r="J187" s="31">
        <v>9</v>
      </c>
      <c r="K187" s="31"/>
      <c r="L187" s="31"/>
      <c r="M187" s="31"/>
      <c r="N187" s="31"/>
      <c r="O187" s="31"/>
      <c r="P187" s="31"/>
      <c r="Q187" s="31"/>
      <c r="R187" s="31"/>
      <c r="S187" s="29">
        <f>YEAR(Tabla2[[#This Row],[Fecha]])</f>
        <v>2023</v>
      </c>
    </row>
    <row r="188" hidden="1" spans="1:19">
      <c r="A188" s="27">
        <v>45155</v>
      </c>
      <c r="B188" s="27" t="s">
        <v>31</v>
      </c>
      <c r="C188" s="37">
        <f>SUM(D188:R188)</f>
        <v>30</v>
      </c>
      <c r="D188" s="31">
        <v>5</v>
      </c>
      <c r="E188" s="31">
        <v>7</v>
      </c>
      <c r="F188" s="31">
        <v>12</v>
      </c>
      <c r="G188" s="31">
        <v>6</v>
      </c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29">
        <f>YEAR(Tabla2[[#This Row],[Fecha]])</f>
        <v>2023</v>
      </c>
    </row>
    <row r="189" hidden="1" spans="1:19">
      <c r="A189" s="27">
        <v>45156</v>
      </c>
      <c r="B189" s="27" t="s">
        <v>31</v>
      </c>
      <c r="C189" s="37">
        <f>SUM(D189:R189)</f>
        <v>31</v>
      </c>
      <c r="D189" s="31">
        <v>6</v>
      </c>
      <c r="E189" s="31">
        <v>14</v>
      </c>
      <c r="F189" s="31">
        <v>7</v>
      </c>
      <c r="G189" s="31">
        <v>4</v>
      </c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29">
        <f>YEAR(Tabla2[[#This Row],[Fecha]])</f>
        <v>2023</v>
      </c>
    </row>
    <row r="190" hidden="1" spans="1:19">
      <c r="A190" s="27">
        <v>45157</v>
      </c>
      <c r="B190" s="27" t="s">
        <v>31</v>
      </c>
      <c r="C190" s="37">
        <f>SUM(D190:R190)</f>
        <v>42</v>
      </c>
      <c r="D190" s="31">
        <v>10</v>
      </c>
      <c r="E190" s="31">
        <v>5</v>
      </c>
      <c r="F190" s="31">
        <v>6</v>
      </c>
      <c r="G190" s="31">
        <v>3</v>
      </c>
      <c r="H190" s="31">
        <v>11</v>
      </c>
      <c r="I190" s="31">
        <v>6</v>
      </c>
      <c r="J190" s="31">
        <v>1</v>
      </c>
      <c r="K190" s="31"/>
      <c r="L190" s="31"/>
      <c r="M190" s="31"/>
      <c r="N190" s="31"/>
      <c r="O190" s="31"/>
      <c r="P190" s="31"/>
      <c r="Q190" s="31"/>
      <c r="R190" s="31"/>
      <c r="S190" s="29">
        <f>YEAR(Tabla2[[#This Row],[Fecha]])</f>
        <v>2023</v>
      </c>
    </row>
    <row r="191" hidden="1" spans="1:19">
      <c r="A191" s="27">
        <v>45158</v>
      </c>
      <c r="B191" s="27" t="s">
        <v>33</v>
      </c>
      <c r="C191" s="37">
        <f>SUM(D191:R191)</f>
        <v>37</v>
      </c>
      <c r="D191" s="31">
        <v>12</v>
      </c>
      <c r="E191" s="31">
        <v>13</v>
      </c>
      <c r="F191" s="31">
        <v>12</v>
      </c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29">
        <f>YEAR(Tabla2[[#This Row],[Fecha]])</f>
        <v>2023</v>
      </c>
    </row>
    <row r="192" hidden="1" spans="1:19">
      <c r="A192" s="27">
        <v>45173</v>
      </c>
      <c r="B192" s="27" t="s">
        <v>33</v>
      </c>
      <c r="C192" s="37">
        <f>SUM(D192:R192)</f>
        <v>34</v>
      </c>
      <c r="D192" s="31">
        <v>12</v>
      </c>
      <c r="E192" s="31">
        <v>22</v>
      </c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29">
        <f>YEAR(Tabla2[[#This Row],[Fecha]])</f>
        <v>2023</v>
      </c>
    </row>
    <row r="193" hidden="1" spans="1:19">
      <c r="A193" s="27">
        <v>45175</v>
      </c>
      <c r="B193" s="27" t="s">
        <v>33</v>
      </c>
      <c r="C193" s="37">
        <f>SUM(D193:R193)</f>
        <v>17</v>
      </c>
      <c r="D193" s="31">
        <v>17</v>
      </c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29">
        <f>YEAR(Tabla2[[#This Row],[Fecha]])</f>
        <v>2023</v>
      </c>
    </row>
    <row r="194" hidden="1" spans="1:19">
      <c r="A194" s="27">
        <v>45191</v>
      </c>
      <c r="B194" s="27" t="s">
        <v>29</v>
      </c>
      <c r="C194" s="37">
        <f>SUM(D194:R194)</f>
        <v>65</v>
      </c>
      <c r="D194" s="31">
        <v>5</v>
      </c>
      <c r="E194" s="31">
        <v>7</v>
      </c>
      <c r="F194" s="31">
        <v>9</v>
      </c>
      <c r="G194" s="31">
        <v>10</v>
      </c>
      <c r="H194" s="31">
        <v>7</v>
      </c>
      <c r="I194" s="31">
        <v>4</v>
      </c>
      <c r="J194" s="31">
        <v>5</v>
      </c>
      <c r="K194" s="31">
        <v>4</v>
      </c>
      <c r="L194" s="31">
        <v>7</v>
      </c>
      <c r="M194" s="31">
        <v>7</v>
      </c>
      <c r="N194" s="31"/>
      <c r="O194" s="31"/>
      <c r="P194" s="31"/>
      <c r="Q194" s="31"/>
      <c r="R194" s="31"/>
      <c r="S194" s="29">
        <f>YEAR(Tabla2[[#This Row],[Fecha]])</f>
        <v>2023</v>
      </c>
    </row>
    <row r="195" hidden="1" spans="1:19">
      <c r="A195" s="27">
        <v>45192</v>
      </c>
      <c r="B195" s="27" t="s">
        <v>29</v>
      </c>
      <c r="C195" s="37">
        <f>SUM(D195:R195)</f>
        <v>100</v>
      </c>
      <c r="D195" s="31">
        <v>8</v>
      </c>
      <c r="E195" s="31">
        <v>6</v>
      </c>
      <c r="F195" s="31">
        <v>8</v>
      </c>
      <c r="G195" s="31">
        <v>8</v>
      </c>
      <c r="H195" s="31">
        <v>6</v>
      </c>
      <c r="I195" s="31">
        <v>8</v>
      </c>
      <c r="J195" s="31">
        <v>6</v>
      </c>
      <c r="K195" s="31">
        <v>5</v>
      </c>
      <c r="L195" s="31">
        <v>6</v>
      </c>
      <c r="M195" s="31">
        <v>7</v>
      </c>
      <c r="N195" s="31">
        <v>5</v>
      </c>
      <c r="O195" s="31">
        <v>9</v>
      </c>
      <c r="P195" s="31">
        <v>6</v>
      </c>
      <c r="Q195" s="31">
        <v>5</v>
      </c>
      <c r="R195" s="31">
        <v>7</v>
      </c>
      <c r="S195" s="29">
        <f>YEAR(Tabla2[[#This Row],[Fecha]])</f>
        <v>2023</v>
      </c>
    </row>
    <row r="196" hidden="1" spans="1:19">
      <c r="A196" s="27">
        <v>45192</v>
      </c>
      <c r="B196" s="27" t="s">
        <v>29</v>
      </c>
      <c r="C196" s="37">
        <f>SUM(D196:R196)</f>
        <v>15</v>
      </c>
      <c r="D196" s="31">
        <v>6</v>
      </c>
      <c r="E196" s="31">
        <v>9</v>
      </c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29">
        <f>YEAR(Tabla2[[#This Row],[Fecha]])</f>
        <v>2023</v>
      </c>
    </row>
    <row r="197" hidden="1" spans="1:19">
      <c r="A197" s="27">
        <v>45193</v>
      </c>
      <c r="B197" s="27" t="s">
        <v>29</v>
      </c>
      <c r="C197" s="37">
        <f>SUM(D197:R197)</f>
        <v>49</v>
      </c>
      <c r="D197" s="31">
        <v>9</v>
      </c>
      <c r="E197" s="31">
        <v>6</v>
      </c>
      <c r="F197" s="31">
        <v>6</v>
      </c>
      <c r="G197" s="31">
        <v>4</v>
      </c>
      <c r="H197" s="31">
        <v>5</v>
      </c>
      <c r="I197" s="31">
        <v>11</v>
      </c>
      <c r="J197" s="31">
        <v>8</v>
      </c>
      <c r="K197" s="31"/>
      <c r="L197" s="31"/>
      <c r="M197" s="31"/>
      <c r="N197" s="31"/>
      <c r="O197" s="31"/>
      <c r="P197" s="31"/>
      <c r="Q197" s="31"/>
      <c r="R197" s="31"/>
      <c r="S197" s="29">
        <f>YEAR(Tabla2[[#This Row],[Fecha]])</f>
        <v>2023</v>
      </c>
    </row>
    <row r="198" hidden="1" spans="1:19">
      <c r="A198" s="27">
        <v>45194</v>
      </c>
      <c r="B198" s="27" t="s">
        <v>29</v>
      </c>
      <c r="C198" s="37">
        <f>SUM(D198:R198)</f>
        <v>33</v>
      </c>
      <c r="D198" s="31">
        <v>6</v>
      </c>
      <c r="E198" s="31">
        <v>6</v>
      </c>
      <c r="F198" s="31">
        <v>6</v>
      </c>
      <c r="G198" s="31">
        <v>9</v>
      </c>
      <c r="H198" s="31">
        <v>6</v>
      </c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29">
        <f>YEAR(Tabla2[[#This Row],[Fecha]])</f>
        <v>2023</v>
      </c>
    </row>
    <row r="199" hidden="1" spans="1:19">
      <c r="A199" s="27">
        <v>45195</v>
      </c>
      <c r="B199" s="27" t="s">
        <v>29</v>
      </c>
      <c r="C199" s="37">
        <f>SUM(D199:R199)</f>
        <v>62</v>
      </c>
      <c r="D199" s="31">
        <v>5</v>
      </c>
      <c r="E199" s="31">
        <v>7</v>
      </c>
      <c r="F199" s="31">
        <v>11</v>
      </c>
      <c r="G199" s="31">
        <v>15</v>
      </c>
      <c r="H199" s="31">
        <v>6</v>
      </c>
      <c r="I199" s="31">
        <v>6</v>
      </c>
      <c r="J199" s="31">
        <v>4</v>
      </c>
      <c r="K199" s="31">
        <v>8</v>
      </c>
      <c r="L199" s="31"/>
      <c r="M199" s="31"/>
      <c r="N199" s="31"/>
      <c r="O199" s="31"/>
      <c r="P199" s="31"/>
      <c r="Q199" s="31"/>
      <c r="R199" s="31"/>
      <c r="S199" s="29">
        <f>YEAR(Tabla2[[#This Row],[Fecha]])</f>
        <v>2023</v>
      </c>
    </row>
    <row r="200" hidden="1" spans="1:19">
      <c r="A200" s="27">
        <v>45196</v>
      </c>
      <c r="B200" s="27" t="s">
        <v>29</v>
      </c>
      <c r="C200" s="37">
        <f>SUM(D200:R200)</f>
        <v>32</v>
      </c>
      <c r="D200" s="31">
        <v>1</v>
      </c>
      <c r="E200" s="31">
        <v>1</v>
      </c>
      <c r="F200" s="31">
        <v>2</v>
      </c>
      <c r="G200" s="31">
        <v>5</v>
      </c>
      <c r="H200" s="31">
        <v>3</v>
      </c>
      <c r="I200" s="31">
        <v>4</v>
      </c>
      <c r="J200" s="31">
        <v>2</v>
      </c>
      <c r="K200" s="31">
        <v>2</v>
      </c>
      <c r="L200" s="31">
        <v>1</v>
      </c>
      <c r="M200" s="31">
        <v>3</v>
      </c>
      <c r="N200" s="31">
        <v>2</v>
      </c>
      <c r="O200" s="31">
        <v>1</v>
      </c>
      <c r="P200" s="31">
        <v>2</v>
      </c>
      <c r="Q200" s="31">
        <v>3</v>
      </c>
      <c r="R200" s="31"/>
      <c r="S200" s="29">
        <f>YEAR(Tabla2[[#This Row],[Fecha]])</f>
        <v>2023</v>
      </c>
    </row>
    <row r="201" hidden="1" spans="1:19">
      <c r="A201" s="27">
        <v>45234</v>
      </c>
      <c r="B201" s="27" t="s">
        <v>31</v>
      </c>
      <c r="C201" s="37">
        <f>SUM(D201:R201)</f>
        <v>4</v>
      </c>
      <c r="D201" s="31">
        <v>4</v>
      </c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29">
        <f>YEAR(Tabla2[[#This Row],[Fecha]])</f>
        <v>2023</v>
      </c>
    </row>
    <row r="202" hidden="1" spans="1:19">
      <c r="A202" s="27">
        <v>45234</v>
      </c>
      <c r="B202" s="27" t="s">
        <v>33</v>
      </c>
      <c r="C202" s="37">
        <f>SUM(D202:R202)</f>
        <v>34</v>
      </c>
      <c r="D202" s="31">
        <v>1</v>
      </c>
      <c r="E202" s="31">
        <v>8</v>
      </c>
      <c r="F202" s="31">
        <v>1</v>
      </c>
      <c r="G202" s="31">
        <v>6</v>
      </c>
      <c r="H202" s="31">
        <v>8</v>
      </c>
      <c r="I202" s="31">
        <v>4</v>
      </c>
      <c r="J202" s="31">
        <v>6</v>
      </c>
      <c r="K202" s="31"/>
      <c r="L202" s="31"/>
      <c r="M202" s="31"/>
      <c r="N202" s="31"/>
      <c r="O202" s="31"/>
      <c r="P202" s="31"/>
      <c r="Q202" s="31"/>
      <c r="R202" s="31"/>
      <c r="S202" s="29">
        <f>YEAR(Tabla2[[#This Row],[Fecha]])</f>
        <v>2023</v>
      </c>
    </row>
    <row r="203" hidden="1" spans="1:19">
      <c r="A203" s="27">
        <v>45235</v>
      </c>
      <c r="B203" s="27" t="s">
        <v>33</v>
      </c>
      <c r="C203" s="37">
        <f>SUM(D203:R203)</f>
        <v>37</v>
      </c>
      <c r="D203" s="31">
        <v>5</v>
      </c>
      <c r="E203" s="31">
        <v>7</v>
      </c>
      <c r="F203" s="31">
        <v>11</v>
      </c>
      <c r="G203" s="31">
        <v>1</v>
      </c>
      <c r="H203" s="31">
        <v>3</v>
      </c>
      <c r="I203" s="31">
        <v>1</v>
      </c>
      <c r="J203" s="31">
        <v>9</v>
      </c>
      <c r="K203" s="31"/>
      <c r="L203" s="31"/>
      <c r="M203" s="31"/>
      <c r="N203" s="31"/>
      <c r="O203" s="31"/>
      <c r="P203" s="31"/>
      <c r="Q203" s="31"/>
      <c r="R203" s="31"/>
      <c r="S203" s="29">
        <f>YEAR(Tabla2[[#This Row],[Fecha]])</f>
        <v>2023</v>
      </c>
    </row>
    <row r="204" hidden="1" spans="1:19">
      <c r="A204" s="27">
        <v>45236</v>
      </c>
      <c r="B204" s="27" t="s">
        <v>33</v>
      </c>
      <c r="C204" s="37">
        <f>SUM(D204:R204)</f>
        <v>25</v>
      </c>
      <c r="D204" s="31">
        <v>3</v>
      </c>
      <c r="E204" s="31">
        <v>3</v>
      </c>
      <c r="F204" s="31">
        <v>5</v>
      </c>
      <c r="G204" s="31">
        <v>5</v>
      </c>
      <c r="H204" s="31">
        <v>5</v>
      </c>
      <c r="I204" s="31">
        <v>4</v>
      </c>
      <c r="J204" s="31"/>
      <c r="K204" s="31"/>
      <c r="L204" s="31"/>
      <c r="M204" s="31"/>
      <c r="N204" s="31"/>
      <c r="O204" s="31"/>
      <c r="P204" s="31"/>
      <c r="Q204" s="31"/>
      <c r="R204" s="31"/>
      <c r="S204" s="29">
        <f>YEAR(Tabla2[[#This Row],[Fecha]])</f>
        <v>2023</v>
      </c>
    </row>
    <row r="205" hidden="1" spans="1:19">
      <c r="A205" s="27">
        <v>45237</v>
      </c>
      <c r="B205" s="27" t="s">
        <v>33</v>
      </c>
      <c r="C205" s="37">
        <f>SUM(D205:R205)</f>
        <v>42</v>
      </c>
      <c r="D205" s="31">
        <v>1</v>
      </c>
      <c r="E205" s="31">
        <v>6</v>
      </c>
      <c r="F205" s="31">
        <v>4</v>
      </c>
      <c r="G205" s="31">
        <v>3</v>
      </c>
      <c r="H205" s="31">
        <v>2</v>
      </c>
      <c r="I205" s="31">
        <v>4</v>
      </c>
      <c r="J205" s="31">
        <v>3</v>
      </c>
      <c r="K205" s="31">
        <v>3</v>
      </c>
      <c r="L205" s="31">
        <v>5</v>
      </c>
      <c r="M205" s="31">
        <v>4</v>
      </c>
      <c r="N205" s="31">
        <v>7</v>
      </c>
      <c r="O205" s="31"/>
      <c r="P205" s="31"/>
      <c r="Q205" s="31"/>
      <c r="R205" s="31"/>
      <c r="S205" s="29">
        <f>YEAR(Tabla2[[#This Row],[Fecha]])</f>
        <v>2023</v>
      </c>
    </row>
    <row r="206" hidden="1" spans="1:19">
      <c r="A206" s="27">
        <v>45239</v>
      </c>
      <c r="B206" s="27" t="s">
        <v>33</v>
      </c>
      <c r="C206" s="37">
        <f>SUM(D206:R206)</f>
        <v>30</v>
      </c>
      <c r="D206" s="31">
        <v>4</v>
      </c>
      <c r="E206" s="31">
        <v>2</v>
      </c>
      <c r="F206" s="31">
        <v>4</v>
      </c>
      <c r="G206" s="31">
        <v>1</v>
      </c>
      <c r="H206" s="31">
        <v>6</v>
      </c>
      <c r="I206" s="31">
        <v>3</v>
      </c>
      <c r="J206" s="31">
        <v>1</v>
      </c>
      <c r="K206" s="31">
        <v>8</v>
      </c>
      <c r="L206" s="31">
        <v>1</v>
      </c>
      <c r="M206" s="31"/>
      <c r="N206" s="31"/>
      <c r="O206" s="31"/>
      <c r="P206" s="31"/>
      <c r="Q206" s="31"/>
      <c r="R206" s="31"/>
      <c r="S206" s="29">
        <f>YEAR(Tabla2[[#This Row],[Fecha]])</f>
        <v>2023</v>
      </c>
    </row>
    <row r="207" hidden="1" spans="1:19">
      <c r="A207" s="27">
        <v>45240</v>
      </c>
      <c r="B207" s="27" t="s">
        <v>33</v>
      </c>
      <c r="C207" s="37">
        <f>SUM(D207:R207)</f>
        <v>12</v>
      </c>
      <c r="D207" s="31">
        <v>4</v>
      </c>
      <c r="E207" s="31">
        <v>8</v>
      </c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29">
        <f>YEAR(Tabla2[[#This Row],[Fecha]])</f>
        <v>2023</v>
      </c>
    </row>
    <row r="208" hidden="1" spans="1:19">
      <c r="A208" s="27">
        <v>45293</v>
      </c>
      <c r="B208" s="27" t="s">
        <v>31</v>
      </c>
      <c r="C208" s="37">
        <f>SUM(D208:R208)</f>
        <v>46</v>
      </c>
      <c r="D208" s="31">
        <v>4</v>
      </c>
      <c r="E208" s="31">
        <v>7</v>
      </c>
      <c r="F208" s="31">
        <v>4</v>
      </c>
      <c r="G208" s="31">
        <v>7</v>
      </c>
      <c r="H208" s="31">
        <v>24</v>
      </c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29">
        <f>YEAR(Tabla2[[#This Row],[Fecha]])</f>
        <v>2024</v>
      </c>
    </row>
    <row r="209" hidden="1" spans="1:19">
      <c r="A209" s="27">
        <v>45294</v>
      </c>
      <c r="B209" s="27" t="s">
        <v>31</v>
      </c>
      <c r="C209" s="37">
        <f>SUM(D209:R209)</f>
        <v>32</v>
      </c>
      <c r="D209" s="31">
        <v>3</v>
      </c>
      <c r="E209" s="31">
        <v>8</v>
      </c>
      <c r="F209" s="31">
        <v>21</v>
      </c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29">
        <f>YEAR(Tabla2[[#This Row],[Fecha]])</f>
        <v>2024</v>
      </c>
    </row>
    <row r="210" hidden="1" spans="1:19">
      <c r="A210" s="27">
        <v>45295</v>
      </c>
      <c r="B210" s="27" t="s">
        <v>31</v>
      </c>
      <c r="C210" s="37">
        <f>SUM(D210:R210)</f>
        <v>35</v>
      </c>
      <c r="D210" s="31">
        <v>2</v>
      </c>
      <c r="E210" s="31">
        <v>1</v>
      </c>
      <c r="F210" s="31">
        <v>1</v>
      </c>
      <c r="G210" s="31">
        <v>7</v>
      </c>
      <c r="H210" s="31">
        <v>24</v>
      </c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29">
        <f>YEAR(Tabla2[[#This Row],[Fecha]])</f>
        <v>2024</v>
      </c>
    </row>
    <row r="211" hidden="1" spans="1:19">
      <c r="A211" s="27">
        <v>45296</v>
      </c>
      <c r="B211" s="27" t="s">
        <v>31</v>
      </c>
      <c r="C211" s="37">
        <f>SUM(D211:R211)</f>
        <v>27</v>
      </c>
      <c r="D211" s="31">
        <v>3</v>
      </c>
      <c r="E211" s="31">
        <v>8</v>
      </c>
      <c r="F211" s="31">
        <v>3</v>
      </c>
      <c r="G211" s="31">
        <v>5</v>
      </c>
      <c r="H211" s="31">
        <v>2</v>
      </c>
      <c r="I211" s="31">
        <v>4</v>
      </c>
      <c r="J211" s="31">
        <v>2</v>
      </c>
      <c r="K211" s="31"/>
      <c r="L211" s="31"/>
      <c r="M211" s="31"/>
      <c r="N211" s="31"/>
      <c r="O211" s="31"/>
      <c r="P211" s="31"/>
      <c r="Q211" s="31"/>
      <c r="R211" s="31"/>
      <c r="S211" s="29">
        <f>YEAR(Tabla2[[#This Row],[Fecha]])</f>
        <v>2024</v>
      </c>
    </row>
    <row r="212" hidden="1" spans="1:19">
      <c r="A212" s="27">
        <v>45297</v>
      </c>
      <c r="B212" s="27" t="s">
        <v>31</v>
      </c>
      <c r="C212" s="37">
        <f>SUM(D212:R212)</f>
        <v>62</v>
      </c>
      <c r="D212" s="31">
        <v>9</v>
      </c>
      <c r="E212" s="31">
        <v>8</v>
      </c>
      <c r="F212" s="31">
        <v>6</v>
      </c>
      <c r="G212" s="31">
        <v>7</v>
      </c>
      <c r="H212" s="31">
        <v>4</v>
      </c>
      <c r="I212" s="31">
        <v>8</v>
      </c>
      <c r="J212" s="31">
        <v>13</v>
      </c>
      <c r="K212" s="31">
        <v>7</v>
      </c>
      <c r="L212" s="31"/>
      <c r="M212" s="31"/>
      <c r="N212" s="31"/>
      <c r="O212" s="31"/>
      <c r="P212" s="31"/>
      <c r="Q212" s="31"/>
      <c r="R212" s="31"/>
      <c r="S212" s="29">
        <f>YEAR(Tabla2[[#This Row],[Fecha]])</f>
        <v>2024</v>
      </c>
    </row>
    <row r="213" hidden="1" spans="1:19">
      <c r="A213" s="27">
        <v>45298</v>
      </c>
      <c r="B213" s="27" t="s">
        <v>31</v>
      </c>
      <c r="C213" s="37">
        <f>SUM(D213:R213)</f>
        <v>54</v>
      </c>
      <c r="D213" s="31">
        <v>3</v>
      </c>
      <c r="E213" s="31">
        <v>9</v>
      </c>
      <c r="F213" s="31">
        <v>8</v>
      </c>
      <c r="G213" s="31">
        <v>4</v>
      </c>
      <c r="H213" s="31">
        <v>13</v>
      </c>
      <c r="I213" s="31">
        <v>11</v>
      </c>
      <c r="J213" s="31">
        <v>6</v>
      </c>
      <c r="K213" s="31"/>
      <c r="L213" s="31"/>
      <c r="M213" s="31"/>
      <c r="N213" s="31"/>
      <c r="O213" s="31"/>
      <c r="P213" s="31"/>
      <c r="Q213" s="31"/>
      <c r="R213" s="31"/>
      <c r="S213" s="29">
        <f>YEAR(Tabla2[[#This Row],[Fecha]])</f>
        <v>2024</v>
      </c>
    </row>
    <row r="214" hidden="1" spans="1:19">
      <c r="A214" s="27">
        <v>45299</v>
      </c>
      <c r="B214" s="27" t="s">
        <v>31</v>
      </c>
      <c r="C214" s="37">
        <f>SUM(D214:R214)</f>
        <v>40</v>
      </c>
      <c r="D214" s="31">
        <v>19</v>
      </c>
      <c r="E214" s="31">
        <v>6</v>
      </c>
      <c r="F214" s="31">
        <v>15</v>
      </c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29">
        <f>YEAR(Tabla2[[#This Row],[Fecha]])</f>
        <v>2024</v>
      </c>
    </row>
    <row r="215" hidden="1" spans="1:19">
      <c r="A215" s="27">
        <v>45300</v>
      </c>
      <c r="B215" s="27" t="s">
        <v>31</v>
      </c>
      <c r="C215" s="37">
        <f>SUM(D215:R215)</f>
        <v>41</v>
      </c>
      <c r="D215" s="31">
        <v>20</v>
      </c>
      <c r="E215" s="31">
        <v>4</v>
      </c>
      <c r="F215" s="31">
        <v>17</v>
      </c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29">
        <f>YEAR(Tabla2[[#This Row],[Fecha]])</f>
        <v>2024</v>
      </c>
    </row>
    <row r="216" hidden="1" spans="1:19">
      <c r="A216" s="27">
        <v>45301</v>
      </c>
      <c r="B216" s="27" t="s">
        <v>31</v>
      </c>
      <c r="C216" s="37">
        <f>SUM(D216:R216)</f>
        <v>35</v>
      </c>
      <c r="D216" s="31">
        <v>8</v>
      </c>
      <c r="E216" s="31">
        <v>13</v>
      </c>
      <c r="F216" s="31">
        <v>14</v>
      </c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29">
        <f>YEAR(Tabla2[[#This Row],[Fecha]])</f>
        <v>2024</v>
      </c>
    </row>
    <row r="217" hidden="1" spans="1:19">
      <c r="A217" s="27">
        <v>45302</v>
      </c>
      <c r="B217" s="27" t="s">
        <v>31</v>
      </c>
      <c r="C217" s="37">
        <f>SUM(D217:R217)</f>
        <v>31</v>
      </c>
      <c r="D217" s="31">
        <v>13</v>
      </c>
      <c r="E217" s="31">
        <v>18</v>
      </c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29">
        <f>YEAR(Tabla2[[#This Row],[Fecha]])</f>
        <v>2024</v>
      </c>
    </row>
    <row r="218" hidden="1" spans="1:19">
      <c r="A218" s="27">
        <v>45303</v>
      </c>
      <c r="B218" s="27" t="s">
        <v>31</v>
      </c>
      <c r="C218" s="37">
        <f>SUM(D218:R218)</f>
        <v>39</v>
      </c>
      <c r="D218" s="31">
        <v>12</v>
      </c>
      <c r="E218" s="31">
        <v>11</v>
      </c>
      <c r="F218" s="31">
        <v>5</v>
      </c>
      <c r="G218" s="31">
        <v>11</v>
      </c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29">
        <f>YEAR(Tabla2[[#This Row],[Fecha]])</f>
        <v>2024</v>
      </c>
    </row>
    <row r="219" hidden="1" spans="1:19">
      <c r="A219" s="27">
        <v>45306</v>
      </c>
      <c r="B219" s="27" t="s">
        <v>31</v>
      </c>
      <c r="C219" s="37">
        <f>SUM(D219:R219)</f>
        <v>31</v>
      </c>
      <c r="D219" s="31">
        <v>15</v>
      </c>
      <c r="E219" s="31">
        <v>16</v>
      </c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29">
        <f>YEAR(Tabla2[[#This Row],[Fecha]])</f>
        <v>2024</v>
      </c>
    </row>
    <row r="220" hidden="1" spans="1:19">
      <c r="A220" s="27">
        <v>45307</v>
      </c>
      <c r="B220" s="27" t="s">
        <v>31</v>
      </c>
      <c r="C220" s="37">
        <f>SUM(D220:R220)</f>
        <v>60</v>
      </c>
      <c r="D220" s="31">
        <v>23</v>
      </c>
      <c r="E220" s="31">
        <v>4</v>
      </c>
      <c r="F220" s="31">
        <v>33</v>
      </c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29">
        <f>YEAR(Tabla2[[#This Row],[Fecha]])</f>
        <v>2024</v>
      </c>
    </row>
    <row r="221" hidden="1" spans="1:19">
      <c r="A221" s="27">
        <v>45308</v>
      </c>
      <c r="B221" s="27" t="s">
        <v>31</v>
      </c>
      <c r="C221" s="37">
        <f>SUM(D221:R221)</f>
        <v>32</v>
      </c>
      <c r="D221" s="31">
        <v>22</v>
      </c>
      <c r="E221" s="31">
        <v>10</v>
      </c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29">
        <f>YEAR(Tabla2[[#This Row],[Fecha]])</f>
        <v>2024</v>
      </c>
    </row>
    <row r="222" hidden="1" spans="1:19">
      <c r="A222" s="27">
        <v>45309</v>
      </c>
      <c r="B222" s="27" t="s">
        <v>31</v>
      </c>
      <c r="C222" s="37">
        <f>SUM(D222:R222)</f>
        <v>67</v>
      </c>
      <c r="D222" s="31">
        <v>14</v>
      </c>
      <c r="E222" s="31">
        <v>8</v>
      </c>
      <c r="F222" s="31">
        <v>12</v>
      </c>
      <c r="G222" s="31">
        <v>19</v>
      </c>
      <c r="H222" s="31">
        <v>14</v>
      </c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29">
        <f>YEAR(Tabla2[[#This Row],[Fecha]])</f>
        <v>2024</v>
      </c>
    </row>
    <row r="223" hidden="1" spans="1:19">
      <c r="A223" s="27">
        <v>45313</v>
      </c>
      <c r="B223" s="27" t="s">
        <v>31</v>
      </c>
      <c r="C223" s="37">
        <f>SUM(D223:R223)</f>
        <v>39</v>
      </c>
      <c r="D223" s="31">
        <v>18</v>
      </c>
      <c r="E223" s="31">
        <v>21</v>
      </c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29">
        <f>YEAR(Tabla2[[#This Row],[Fecha]])</f>
        <v>2024</v>
      </c>
    </row>
    <row r="224" hidden="1" spans="1:19">
      <c r="A224" s="27">
        <v>45314</v>
      </c>
      <c r="B224" s="27" t="s">
        <v>31</v>
      </c>
      <c r="C224" s="37">
        <f>SUM(D224:R224)</f>
        <v>31</v>
      </c>
      <c r="D224" s="31">
        <v>31</v>
      </c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29">
        <f>YEAR(Tabla2[[#This Row],[Fecha]])</f>
        <v>2024</v>
      </c>
    </row>
    <row r="225" hidden="1" spans="1:19">
      <c r="A225" s="27">
        <v>45315</v>
      </c>
      <c r="B225" s="27" t="s">
        <v>31</v>
      </c>
      <c r="C225" s="37">
        <f>SUM(D225:R225)</f>
        <v>53</v>
      </c>
      <c r="D225" s="31">
        <v>20</v>
      </c>
      <c r="E225" s="31">
        <v>33</v>
      </c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29">
        <f>YEAR(Tabla2[[#This Row],[Fecha]])</f>
        <v>2024</v>
      </c>
    </row>
    <row r="226" hidden="1" spans="1:19">
      <c r="A226" s="27">
        <v>45316</v>
      </c>
      <c r="B226" s="27" t="s">
        <v>31</v>
      </c>
      <c r="C226" s="37">
        <f>SUM(D226:R226)</f>
        <v>44</v>
      </c>
      <c r="D226" s="31">
        <v>21</v>
      </c>
      <c r="E226" s="31">
        <v>23</v>
      </c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29">
        <f>YEAR(Tabla2[[#This Row],[Fecha]])</f>
        <v>2024</v>
      </c>
    </row>
    <row r="227" hidden="1" spans="1:19">
      <c r="A227" s="27">
        <v>45317</v>
      </c>
      <c r="B227" s="27" t="s">
        <v>31</v>
      </c>
      <c r="C227" s="37">
        <f>SUM(D227:R227)</f>
        <v>32</v>
      </c>
      <c r="D227" s="31">
        <v>13</v>
      </c>
      <c r="E227" s="31">
        <v>19</v>
      </c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29">
        <f>YEAR(Tabla2[[#This Row],[Fecha]])</f>
        <v>2024</v>
      </c>
    </row>
    <row r="228" hidden="1" spans="1:19">
      <c r="A228" s="27">
        <v>45318</v>
      </c>
      <c r="B228" s="27" t="s">
        <v>31</v>
      </c>
      <c r="C228" s="37">
        <f>SUM(D228:R228)</f>
        <v>39</v>
      </c>
      <c r="D228" s="31">
        <v>39</v>
      </c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29">
        <f>YEAR(Tabla2[[#This Row],[Fecha]])</f>
        <v>2024</v>
      </c>
    </row>
    <row r="229" hidden="1" spans="1:19">
      <c r="A229" s="27">
        <v>45319</v>
      </c>
      <c r="B229" s="27" t="s">
        <v>31</v>
      </c>
      <c r="C229" s="37">
        <f>SUM(D229:R229)</f>
        <v>36</v>
      </c>
      <c r="D229" s="31">
        <v>10</v>
      </c>
      <c r="E229" s="31">
        <v>26</v>
      </c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29">
        <f>YEAR(Tabla2[[#This Row],[Fecha]])</f>
        <v>2024</v>
      </c>
    </row>
    <row r="230" hidden="1" spans="1:19">
      <c r="A230" s="27">
        <v>45320</v>
      </c>
      <c r="B230" s="27" t="s">
        <v>31</v>
      </c>
      <c r="C230" s="37">
        <f>SUM(D230:R230)</f>
        <v>37</v>
      </c>
      <c r="D230" s="31">
        <v>21</v>
      </c>
      <c r="E230" s="31">
        <v>16</v>
      </c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29">
        <f>YEAR(Tabla2[[#This Row],[Fecha]])</f>
        <v>2024</v>
      </c>
    </row>
    <row r="231" hidden="1" spans="1:19">
      <c r="A231" s="27">
        <v>45320</v>
      </c>
      <c r="B231" s="27" t="s">
        <v>33</v>
      </c>
      <c r="C231" s="37">
        <f>SUM(D231:R231)</f>
        <v>22</v>
      </c>
      <c r="D231" s="31">
        <v>22</v>
      </c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29">
        <f>YEAR(Tabla2[[#This Row],[Fecha]])</f>
        <v>2024</v>
      </c>
    </row>
    <row r="232" hidden="1" spans="1:19">
      <c r="A232" s="27">
        <v>45321</v>
      </c>
      <c r="B232" s="27" t="s">
        <v>31</v>
      </c>
      <c r="C232" s="37">
        <f>SUM(D232:R232)</f>
        <v>19</v>
      </c>
      <c r="D232" s="31">
        <v>19</v>
      </c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29">
        <f>YEAR(Tabla2[[#This Row],[Fecha]])</f>
        <v>2024</v>
      </c>
    </row>
    <row r="233" hidden="1" spans="1:19">
      <c r="A233" s="27">
        <v>45321</v>
      </c>
      <c r="B233" s="27" t="s">
        <v>33</v>
      </c>
      <c r="C233" s="37">
        <f>SUM(D233:R233)</f>
        <v>16</v>
      </c>
      <c r="D233" s="31">
        <f>38-22</f>
        <v>16</v>
      </c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29">
        <f>YEAR(Tabla2[[#This Row],[Fecha]])</f>
        <v>2024</v>
      </c>
    </row>
    <row r="234" hidden="1" spans="1:19">
      <c r="A234" s="27">
        <v>45322</v>
      </c>
      <c r="B234" s="27" t="s">
        <v>31</v>
      </c>
      <c r="C234" s="37">
        <f>SUM(D234:R234)</f>
        <v>20</v>
      </c>
      <c r="D234" s="31">
        <v>10</v>
      </c>
      <c r="E234" s="31">
        <v>10</v>
      </c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29">
        <f>YEAR(Tabla2[[#This Row],[Fecha]])</f>
        <v>2024</v>
      </c>
    </row>
    <row r="235" hidden="1" spans="1:19">
      <c r="A235" s="27">
        <v>45322</v>
      </c>
      <c r="B235" s="27" t="s">
        <v>33</v>
      </c>
      <c r="C235" s="37">
        <f>SUM(D235:R235)</f>
        <v>34</v>
      </c>
      <c r="D235" s="31">
        <f>60+12-D233-D231</f>
        <v>34</v>
      </c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29">
        <f>YEAR(Tabla2[[#This Row],[Fecha]])</f>
        <v>2024</v>
      </c>
    </row>
    <row r="236" hidden="1" spans="1:19">
      <c r="A236" s="27">
        <v>45323</v>
      </c>
      <c r="B236" s="27" t="s">
        <v>31</v>
      </c>
      <c r="C236" s="37">
        <f>SUM(D236:R236)</f>
        <v>33</v>
      </c>
      <c r="D236" s="31">
        <v>10</v>
      </c>
      <c r="E236" s="31">
        <v>23</v>
      </c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29">
        <f>YEAR(Tabla2[[#This Row],[Fecha]])</f>
        <v>2024</v>
      </c>
    </row>
    <row r="237" hidden="1" spans="1:19">
      <c r="A237" s="27">
        <v>45323</v>
      </c>
      <c r="B237" s="27" t="s">
        <v>33</v>
      </c>
      <c r="C237" s="37">
        <f>SUM(D237:R237)</f>
        <v>21</v>
      </c>
      <c r="D237" s="31">
        <v>21</v>
      </c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29">
        <f>YEAR(Tabla2[[#This Row],[Fecha]])</f>
        <v>2024</v>
      </c>
    </row>
    <row r="238" hidden="1" spans="1:19">
      <c r="A238" s="27">
        <v>45324</v>
      </c>
      <c r="B238" s="27" t="s">
        <v>31</v>
      </c>
      <c r="C238" s="37">
        <f>SUM(D238:R238)</f>
        <v>36</v>
      </c>
      <c r="D238" s="31">
        <v>36</v>
      </c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29">
        <f>YEAR(Tabla2[[#This Row],[Fecha]])</f>
        <v>2024</v>
      </c>
    </row>
    <row r="239" hidden="1" spans="1:19">
      <c r="A239" s="27">
        <v>45324</v>
      </c>
      <c r="B239" s="27" t="s">
        <v>33</v>
      </c>
      <c r="C239" s="37">
        <f>SUM(D239:R239)</f>
        <v>18</v>
      </c>
      <c r="D239" s="31">
        <v>18</v>
      </c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29">
        <f>YEAR(Tabla2[[#This Row],[Fecha]])</f>
        <v>2024</v>
      </c>
    </row>
    <row r="240" hidden="1" spans="1:19">
      <c r="A240" s="27">
        <v>45326</v>
      </c>
      <c r="B240" s="27" t="s">
        <v>33</v>
      </c>
      <c r="C240" s="37">
        <f>SUM(D240:R240)</f>
        <v>60</v>
      </c>
      <c r="D240" s="31">
        <v>19</v>
      </c>
      <c r="E240" s="31">
        <v>41</v>
      </c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29">
        <f>YEAR(Tabla2[[#This Row],[Fecha]])</f>
        <v>2024</v>
      </c>
    </row>
    <row r="241" hidden="1" spans="1:19">
      <c r="A241" s="27">
        <v>45327</v>
      </c>
      <c r="B241" s="27" t="s">
        <v>31</v>
      </c>
      <c r="C241" s="37">
        <f>SUM(D241:R241)</f>
        <v>33</v>
      </c>
      <c r="D241" s="31">
        <v>17</v>
      </c>
      <c r="E241" s="31">
        <v>16</v>
      </c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29">
        <f>YEAR(Tabla2[[#This Row],[Fecha]])</f>
        <v>2024</v>
      </c>
    </row>
    <row r="242" hidden="1" spans="1:19">
      <c r="A242" s="27">
        <v>45328</v>
      </c>
      <c r="B242" s="27" t="s">
        <v>31</v>
      </c>
      <c r="C242" s="37">
        <f>SUM(D242:R242)</f>
        <v>35</v>
      </c>
      <c r="D242" s="31">
        <v>35</v>
      </c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29">
        <f>YEAR(Tabla2[[#This Row],[Fecha]])</f>
        <v>2024</v>
      </c>
    </row>
    <row r="243" hidden="1" spans="1:19">
      <c r="A243" s="27">
        <v>45328</v>
      </c>
      <c r="B243" s="27" t="s">
        <v>33</v>
      </c>
      <c r="C243" s="37">
        <f>SUM(D243:R243)</f>
        <v>22</v>
      </c>
      <c r="D243" s="31">
        <v>22</v>
      </c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29">
        <f>YEAR(Tabla2[[#This Row],[Fecha]])</f>
        <v>2024</v>
      </c>
    </row>
    <row r="244" hidden="1" spans="1:19">
      <c r="A244" s="27">
        <v>45329</v>
      </c>
      <c r="B244" s="27" t="s">
        <v>26</v>
      </c>
      <c r="C244" s="37">
        <f>SUM(D244:R244)</f>
        <v>20</v>
      </c>
      <c r="D244" s="31">
        <v>20</v>
      </c>
      <c r="E244" s="31"/>
      <c r="F244" s="31"/>
      <c r="G244" s="31"/>
      <c r="H244" s="31"/>
      <c r="I244" s="31"/>
      <c r="J244" s="31"/>
      <c r="K244" s="31"/>
      <c r="L244" s="31"/>
      <c r="M244" s="31"/>
      <c r="N244" s="31"/>
      <c r="O244" s="31"/>
      <c r="P244" s="31"/>
      <c r="Q244" s="31"/>
      <c r="R244" s="31"/>
      <c r="S244" s="29">
        <f>YEAR(Tabla2[[#This Row],[Fecha]])</f>
        <v>2024</v>
      </c>
    </row>
    <row r="245" hidden="1" spans="1:19">
      <c r="A245" s="27">
        <v>45329</v>
      </c>
      <c r="B245" s="27" t="s">
        <v>33</v>
      </c>
      <c r="C245" s="37">
        <f>SUM(D245:R245)</f>
        <v>31</v>
      </c>
      <c r="D245" s="31">
        <v>17</v>
      </c>
      <c r="E245" s="31">
        <v>14</v>
      </c>
      <c r="F245" s="31"/>
      <c r="G245" s="31"/>
      <c r="H245" s="31"/>
      <c r="I245" s="31"/>
      <c r="J245" s="31"/>
      <c r="K245" s="31"/>
      <c r="L245" s="31"/>
      <c r="M245" s="31"/>
      <c r="N245" s="31"/>
      <c r="O245" s="31"/>
      <c r="P245" s="31"/>
      <c r="Q245" s="31"/>
      <c r="R245" s="31"/>
      <c r="S245" s="29">
        <f>YEAR(Tabla2[[#This Row],[Fecha]])</f>
        <v>2024</v>
      </c>
    </row>
    <row r="246" hidden="1" spans="1:19">
      <c r="A246" s="27">
        <v>45330</v>
      </c>
      <c r="B246" s="27" t="s">
        <v>31</v>
      </c>
      <c r="C246" s="37">
        <f>SUM(D246:R246)</f>
        <v>32</v>
      </c>
      <c r="D246" s="31">
        <v>20</v>
      </c>
      <c r="E246" s="31">
        <v>12</v>
      </c>
      <c r="F246" s="31"/>
      <c r="G246" s="31"/>
      <c r="H246" s="31"/>
      <c r="I246" s="31"/>
      <c r="J246" s="31"/>
      <c r="K246" s="31"/>
      <c r="L246" s="31"/>
      <c r="M246" s="31"/>
      <c r="N246" s="31"/>
      <c r="O246" s="31"/>
      <c r="P246" s="31"/>
      <c r="Q246" s="31"/>
      <c r="R246" s="31"/>
      <c r="S246" s="29">
        <f>YEAR(Tabla2[[#This Row],[Fecha]])</f>
        <v>2024</v>
      </c>
    </row>
    <row r="247" hidden="1" spans="1:19">
      <c r="A247" s="27">
        <v>45330</v>
      </c>
      <c r="B247" s="27" t="s">
        <v>33</v>
      </c>
      <c r="C247" s="37">
        <f>SUM(D247:R247)</f>
        <v>14</v>
      </c>
      <c r="D247" s="31">
        <v>14</v>
      </c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  <c r="S247" s="29">
        <f>YEAR(Tabla2[[#This Row],[Fecha]])</f>
        <v>2024</v>
      </c>
    </row>
    <row r="248" hidden="1" spans="1:19">
      <c r="A248" s="27">
        <v>45331</v>
      </c>
      <c r="B248" s="27" t="s">
        <v>31</v>
      </c>
      <c r="C248" s="37">
        <f>SUM(D248:R248)</f>
        <v>30</v>
      </c>
      <c r="D248" s="31">
        <v>10</v>
      </c>
      <c r="E248" s="31">
        <v>20</v>
      </c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29">
        <f>YEAR(Tabla2[[#This Row],[Fecha]])</f>
        <v>2024</v>
      </c>
    </row>
    <row r="249" hidden="1" spans="1:19">
      <c r="A249" s="27">
        <v>45334</v>
      </c>
      <c r="B249" s="27" t="s">
        <v>31</v>
      </c>
      <c r="C249" s="37">
        <f>SUM(D249:R249)</f>
        <v>42</v>
      </c>
      <c r="D249" s="31">
        <v>42</v>
      </c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29">
        <f>YEAR(Tabla2[[#This Row],[Fecha]])</f>
        <v>2024</v>
      </c>
    </row>
    <row r="250" hidden="1" spans="1:19">
      <c r="A250" s="27">
        <v>45334</v>
      </c>
      <c r="B250" s="27" t="s">
        <v>33</v>
      </c>
      <c r="C250" s="37">
        <f>SUM(D250:R250)</f>
        <v>14</v>
      </c>
      <c r="D250" s="31">
        <v>14</v>
      </c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29">
        <f>YEAR(Tabla2[[#This Row],[Fecha]])</f>
        <v>2024</v>
      </c>
    </row>
    <row r="251" hidden="1" spans="1:19">
      <c r="A251" s="27">
        <v>45335</v>
      </c>
      <c r="B251" s="27" t="s">
        <v>31</v>
      </c>
      <c r="C251" s="37">
        <f>SUM(D251:R251)</f>
        <v>45</v>
      </c>
      <c r="D251" s="31">
        <v>45</v>
      </c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29">
        <f>YEAR(Tabla2[[#This Row],[Fecha]])</f>
        <v>2024</v>
      </c>
    </row>
    <row r="252" hidden="1" spans="1:19">
      <c r="A252" s="27">
        <v>45335</v>
      </c>
      <c r="B252" s="27" t="s">
        <v>33</v>
      </c>
      <c r="C252" s="37">
        <f>SUM(D252:R252)</f>
        <v>52</v>
      </c>
      <c r="D252" s="31">
        <v>52</v>
      </c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29">
        <f>YEAR(Tabla2[[#This Row],[Fecha]])</f>
        <v>2024</v>
      </c>
    </row>
    <row r="253" hidden="1" spans="1:19">
      <c r="A253" s="27">
        <v>45336</v>
      </c>
      <c r="B253" s="27" t="s">
        <v>31</v>
      </c>
      <c r="C253" s="37">
        <f>SUM(D253:R253)</f>
        <v>33</v>
      </c>
      <c r="D253" s="31">
        <v>33</v>
      </c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29">
        <f>YEAR(Tabla2[[#This Row],[Fecha]])</f>
        <v>2024</v>
      </c>
    </row>
    <row r="254" hidden="1" spans="1:19">
      <c r="A254" s="27">
        <v>45336</v>
      </c>
      <c r="B254" s="27" t="s">
        <v>33</v>
      </c>
      <c r="C254" s="37">
        <f>SUM(D254:R254)</f>
        <v>28</v>
      </c>
      <c r="D254" s="31">
        <v>28</v>
      </c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29">
        <f>YEAR(Tabla2[[#This Row],[Fecha]])</f>
        <v>2024</v>
      </c>
    </row>
    <row r="255" hidden="1" spans="1:19">
      <c r="A255" s="27">
        <v>45337</v>
      </c>
      <c r="B255" s="27" t="s">
        <v>31</v>
      </c>
      <c r="C255" s="37">
        <f>SUM(D255:R255)</f>
        <v>42</v>
      </c>
      <c r="D255" s="31">
        <v>23</v>
      </c>
      <c r="E255" s="31">
        <v>19</v>
      </c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29">
        <f>YEAR(Tabla2[[#This Row],[Fecha]])</f>
        <v>2024</v>
      </c>
    </row>
    <row r="256" hidden="1" spans="1:19">
      <c r="A256" s="27">
        <v>45337</v>
      </c>
      <c r="B256" s="27" t="s">
        <v>33</v>
      </c>
      <c r="C256" s="37">
        <f>SUM(D256:R256)</f>
        <v>37</v>
      </c>
      <c r="D256" s="31">
        <v>37</v>
      </c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29">
        <f>YEAR(Tabla2[[#This Row],[Fecha]])</f>
        <v>2024</v>
      </c>
    </row>
    <row r="257" hidden="1" spans="1:19">
      <c r="A257" s="27">
        <v>45338</v>
      </c>
      <c r="B257" s="27" t="s">
        <v>31</v>
      </c>
      <c r="C257" s="37">
        <f>SUM(D257:R257)</f>
        <v>24</v>
      </c>
      <c r="D257" s="31">
        <v>24</v>
      </c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29">
        <f>YEAR(Tabla2[[#This Row],[Fecha]])</f>
        <v>2024</v>
      </c>
    </row>
    <row r="258" hidden="1" spans="1:19">
      <c r="A258" s="27">
        <v>45338</v>
      </c>
      <c r="B258" s="27" t="s">
        <v>33</v>
      </c>
      <c r="C258" s="37">
        <f>SUM(D258:R258)</f>
        <v>18</v>
      </c>
      <c r="D258" s="31">
        <v>18</v>
      </c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29">
        <f>YEAR(Tabla2[[#This Row],[Fecha]])</f>
        <v>2024</v>
      </c>
    </row>
    <row r="259" hidden="1" spans="1:19">
      <c r="A259" s="27">
        <v>45339</v>
      </c>
      <c r="B259" s="27" t="s">
        <v>31</v>
      </c>
      <c r="C259" s="37">
        <f>SUM(D259:R259)</f>
        <v>32</v>
      </c>
      <c r="D259" s="31">
        <v>32</v>
      </c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29">
        <f>YEAR(Tabla2[[#This Row],[Fecha]])</f>
        <v>2024</v>
      </c>
    </row>
    <row r="260" hidden="1" spans="1:19">
      <c r="A260" s="27">
        <v>45339</v>
      </c>
      <c r="B260" s="27" t="s">
        <v>33</v>
      </c>
      <c r="C260" s="37">
        <f>SUM(D260:R260)</f>
        <v>13</v>
      </c>
      <c r="D260" s="31">
        <v>13</v>
      </c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29">
        <f>YEAR(Tabla2[[#This Row],[Fecha]])</f>
        <v>2024</v>
      </c>
    </row>
    <row r="261" hidden="1" spans="1:19">
      <c r="A261" s="27">
        <v>45340</v>
      </c>
      <c r="B261" s="27" t="s">
        <v>31</v>
      </c>
      <c r="C261" s="37">
        <f>SUM(D261:R261)</f>
        <v>45</v>
      </c>
      <c r="D261" s="31">
        <v>26</v>
      </c>
      <c r="E261" s="31">
        <v>19</v>
      </c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29">
        <f>YEAR(Tabla2[[#This Row],[Fecha]])</f>
        <v>2024</v>
      </c>
    </row>
    <row r="262" hidden="1" spans="1:19">
      <c r="A262" s="27">
        <v>45340</v>
      </c>
      <c r="B262" s="27" t="s">
        <v>33</v>
      </c>
      <c r="C262" s="37">
        <f>SUM(D262:R262)</f>
        <v>40</v>
      </c>
      <c r="D262" s="31">
        <v>40</v>
      </c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29">
        <f>YEAR(Tabla2[[#This Row],[Fecha]])</f>
        <v>2024</v>
      </c>
    </row>
    <row r="263" hidden="1" spans="1:19">
      <c r="A263" s="27">
        <v>45341</v>
      </c>
      <c r="B263" s="27" t="s">
        <v>31</v>
      </c>
      <c r="C263" s="37">
        <f>SUM(D263:R263)</f>
        <v>23</v>
      </c>
      <c r="D263" s="31">
        <v>13</v>
      </c>
      <c r="E263" s="31">
        <v>10</v>
      </c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29">
        <f>YEAR(Tabla2[[#This Row],[Fecha]])</f>
        <v>2024</v>
      </c>
    </row>
    <row r="264" hidden="1" spans="1:19">
      <c r="A264" s="27">
        <v>45341</v>
      </c>
      <c r="B264" s="27" t="s">
        <v>33</v>
      </c>
      <c r="C264" s="37">
        <f>SUM(D264:R264)</f>
        <v>27</v>
      </c>
      <c r="D264" s="31">
        <v>27</v>
      </c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29">
        <f>YEAR(Tabla2[[#This Row],[Fecha]])</f>
        <v>2024</v>
      </c>
    </row>
    <row r="265" hidden="1" spans="1:19">
      <c r="A265" s="27">
        <v>45342</v>
      </c>
      <c r="B265" s="27" t="s">
        <v>31</v>
      </c>
      <c r="C265" s="37">
        <f>SUM(D265:R265)</f>
        <v>51</v>
      </c>
      <c r="D265" s="31">
        <v>14</v>
      </c>
      <c r="E265" s="31">
        <v>37</v>
      </c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29">
        <f>YEAR(Tabla2[[#This Row],[Fecha]])</f>
        <v>2024</v>
      </c>
    </row>
    <row r="266" hidden="1" spans="1:19">
      <c r="A266" s="27">
        <v>45342</v>
      </c>
      <c r="B266" s="27" t="s">
        <v>33</v>
      </c>
      <c r="C266" s="37">
        <f>SUM(D266:R266)</f>
        <v>30</v>
      </c>
      <c r="D266" s="31">
        <v>30</v>
      </c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29">
        <f>YEAR(Tabla2[[#This Row],[Fecha]])</f>
        <v>2024</v>
      </c>
    </row>
    <row r="267" hidden="1" spans="1:19">
      <c r="A267" s="27">
        <v>45343</v>
      </c>
      <c r="B267" s="27" t="s">
        <v>31</v>
      </c>
      <c r="C267" s="37">
        <f>SUM(D267:R267)</f>
        <v>28</v>
      </c>
      <c r="D267" s="31">
        <v>15</v>
      </c>
      <c r="E267" s="31">
        <v>13</v>
      </c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29">
        <f>YEAR(Tabla2[[#This Row],[Fecha]])</f>
        <v>2024</v>
      </c>
    </row>
    <row r="268" hidden="1" spans="1:19">
      <c r="A268" s="27">
        <v>45343</v>
      </c>
      <c r="B268" s="27" t="s">
        <v>33</v>
      </c>
      <c r="C268" s="37">
        <f>SUM(D268:R268)</f>
        <v>29</v>
      </c>
      <c r="D268" s="31">
        <v>29</v>
      </c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29">
        <f>YEAR(Tabla2[[#This Row],[Fecha]])</f>
        <v>2024</v>
      </c>
    </row>
    <row r="269" hidden="1" spans="1:19">
      <c r="A269" s="27">
        <v>45344</v>
      </c>
      <c r="B269" s="27" t="s">
        <v>31</v>
      </c>
      <c r="C269" s="37">
        <f>SUM(D269:R269)</f>
        <v>32</v>
      </c>
      <c r="D269" s="31">
        <v>32</v>
      </c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29">
        <f>YEAR(Tabla2[[#This Row],[Fecha]])</f>
        <v>2024</v>
      </c>
    </row>
    <row r="270" hidden="1" spans="1:19">
      <c r="A270" s="27">
        <v>45344</v>
      </c>
      <c r="B270" s="27" t="s">
        <v>33</v>
      </c>
      <c r="C270" s="37">
        <f>SUM(D270:R270)</f>
        <v>16</v>
      </c>
      <c r="D270" s="31">
        <v>16</v>
      </c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29">
        <f>YEAR(Tabla2[[#This Row],[Fecha]])</f>
        <v>2024</v>
      </c>
    </row>
    <row r="271" hidden="1" spans="1:19">
      <c r="A271" s="27">
        <v>45345</v>
      </c>
      <c r="B271" s="27" t="s">
        <v>31</v>
      </c>
      <c r="C271" s="37">
        <f>SUM(D271:R271)</f>
        <v>31</v>
      </c>
      <c r="D271" s="31">
        <v>12</v>
      </c>
      <c r="E271" s="31">
        <v>5</v>
      </c>
      <c r="F271" s="31">
        <v>8</v>
      </c>
      <c r="G271" s="31">
        <v>4</v>
      </c>
      <c r="H271" s="31">
        <v>2</v>
      </c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29">
        <f>YEAR(Tabla2[[#This Row],[Fecha]])</f>
        <v>2024</v>
      </c>
    </row>
    <row r="272" hidden="1" spans="1:19">
      <c r="A272" s="27">
        <v>45345</v>
      </c>
      <c r="B272" s="27" t="s">
        <v>33</v>
      </c>
      <c r="C272" s="37">
        <f>SUM(D272:R272)</f>
        <v>26</v>
      </c>
      <c r="D272" s="31">
        <v>26</v>
      </c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29">
        <f>YEAR(Tabla2[[#This Row],[Fecha]])</f>
        <v>2024</v>
      </c>
    </row>
    <row r="273" hidden="1" spans="1:19">
      <c r="A273" s="27">
        <v>45346</v>
      </c>
      <c r="B273" s="27" t="s">
        <v>31</v>
      </c>
      <c r="C273" s="37">
        <f>SUM(D273:R273)</f>
        <v>32</v>
      </c>
      <c r="D273" s="31">
        <v>3</v>
      </c>
      <c r="E273" s="31">
        <v>3</v>
      </c>
      <c r="F273" s="31">
        <v>5</v>
      </c>
      <c r="G273" s="31">
        <v>2</v>
      </c>
      <c r="H273" s="31">
        <v>3</v>
      </c>
      <c r="I273" s="31">
        <v>5</v>
      </c>
      <c r="J273" s="31">
        <v>11</v>
      </c>
      <c r="K273" s="31"/>
      <c r="L273" s="31"/>
      <c r="M273" s="31"/>
      <c r="N273" s="31"/>
      <c r="O273" s="31"/>
      <c r="P273" s="31"/>
      <c r="Q273" s="31"/>
      <c r="R273" s="31"/>
      <c r="S273" s="29">
        <f>YEAR(Tabla2[[#This Row],[Fecha]])</f>
        <v>2024</v>
      </c>
    </row>
    <row r="274" hidden="1" spans="1:19">
      <c r="A274" s="27">
        <v>45346</v>
      </c>
      <c r="B274" s="27" t="s">
        <v>33</v>
      </c>
      <c r="C274" s="37">
        <f>SUM(D274:R274)</f>
        <v>11</v>
      </c>
      <c r="D274" s="31">
        <v>11</v>
      </c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29">
        <f>YEAR(Tabla2[[#This Row],[Fecha]])</f>
        <v>2024</v>
      </c>
    </row>
    <row r="275" hidden="1" spans="1:19">
      <c r="A275" s="27">
        <v>45347</v>
      </c>
      <c r="B275" s="27" t="s">
        <v>31</v>
      </c>
      <c r="C275" s="37">
        <f>SUM(D275:R275)</f>
        <v>35</v>
      </c>
      <c r="D275" s="31">
        <v>4</v>
      </c>
      <c r="E275" s="31">
        <v>6</v>
      </c>
      <c r="F275" s="31">
        <v>1</v>
      </c>
      <c r="G275" s="31">
        <v>5</v>
      </c>
      <c r="H275" s="31">
        <v>8</v>
      </c>
      <c r="I275" s="31">
        <v>4</v>
      </c>
      <c r="J275" s="31">
        <v>7</v>
      </c>
      <c r="K275" s="31"/>
      <c r="L275" s="31"/>
      <c r="M275" s="31"/>
      <c r="N275" s="31"/>
      <c r="O275" s="31"/>
      <c r="P275" s="31"/>
      <c r="Q275" s="31"/>
      <c r="R275" s="31"/>
      <c r="S275" s="29">
        <f>YEAR(Tabla2[[#This Row],[Fecha]])</f>
        <v>2024</v>
      </c>
    </row>
    <row r="276" hidden="1" spans="1:19">
      <c r="A276" s="27">
        <v>45347</v>
      </c>
      <c r="B276" s="27" t="s">
        <v>33</v>
      </c>
      <c r="C276" s="37">
        <f>SUM(D276:R276)</f>
        <v>15</v>
      </c>
      <c r="D276" s="31">
        <v>15</v>
      </c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29">
        <f>YEAR(Tabla2[[#This Row],[Fecha]])</f>
        <v>2024</v>
      </c>
    </row>
    <row r="277" hidden="1" spans="1:19">
      <c r="A277" s="27">
        <v>45348</v>
      </c>
      <c r="B277" s="27" t="s">
        <v>31</v>
      </c>
      <c r="C277" s="37">
        <f>SUM(D277:R277)</f>
        <v>33</v>
      </c>
      <c r="D277" s="31">
        <v>8</v>
      </c>
      <c r="E277" s="31">
        <v>12</v>
      </c>
      <c r="F277" s="31">
        <v>8</v>
      </c>
      <c r="G277" s="31">
        <v>5</v>
      </c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29">
        <f>YEAR(Tabla2[[#This Row],[Fecha]])</f>
        <v>2024</v>
      </c>
    </row>
    <row r="278" hidden="1" spans="1:19">
      <c r="A278" s="27">
        <v>45348</v>
      </c>
      <c r="B278" s="27" t="s">
        <v>33</v>
      </c>
      <c r="C278" s="37">
        <f>SUM(D278:R278)</f>
        <v>24</v>
      </c>
      <c r="D278" s="31">
        <v>24</v>
      </c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29">
        <f>YEAR(Tabla2[[#This Row],[Fecha]])</f>
        <v>2024</v>
      </c>
    </row>
    <row r="279" hidden="1" spans="1:19">
      <c r="A279" s="27">
        <v>45349</v>
      </c>
      <c r="B279" s="27" t="s">
        <v>31</v>
      </c>
      <c r="C279" s="37">
        <f>SUM(D279:R279)</f>
        <v>43</v>
      </c>
      <c r="D279" s="31">
        <v>6</v>
      </c>
      <c r="E279" s="31">
        <v>2</v>
      </c>
      <c r="F279" s="31">
        <v>13</v>
      </c>
      <c r="G279" s="31">
        <v>5</v>
      </c>
      <c r="H279" s="31">
        <v>17</v>
      </c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29">
        <f>YEAR(Tabla2[[#This Row],[Fecha]])</f>
        <v>2024</v>
      </c>
    </row>
    <row r="280" hidden="1" spans="1:19">
      <c r="A280" s="27">
        <v>45349</v>
      </c>
      <c r="B280" s="27" t="s">
        <v>33</v>
      </c>
      <c r="C280" s="37">
        <f>SUM(D280:R280)</f>
        <v>33</v>
      </c>
      <c r="D280" s="31">
        <v>9</v>
      </c>
      <c r="E280" s="31">
        <v>24</v>
      </c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29">
        <f>YEAR(Tabla2[[#This Row],[Fecha]])</f>
        <v>2024</v>
      </c>
    </row>
    <row r="281" hidden="1" spans="1:19">
      <c r="A281" s="27">
        <v>45350</v>
      </c>
      <c r="B281" s="27" t="s">
        <v>31</v>
      </c>
      <c r="C281" s="37">
        <f>SUM(D281:R281)</f>
        <v>33</v>
      </c>
      <c r="D281" s="31">
        <v>12</v>
      </c>
      <c r="E281" s="31">
        <v>2</v>
      </c>
      <c r="F281" s="31">
        <v>8</v>
      </c>
      <c r="G281" s="31">
        <v>11</v>
      </c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29">
        <f>YEAR(Tabla2[[#This Row],[Fecha]])</f>
        <v>2024</v>
      </c>
    </row>
    <row r="282" hidden="1" spans="1:19">
      <c r="A282" s="27">
        <v>45350</v>
      </c>
      <c r="B282" s="27" t="s">
        <v>33</v>
      </c>
      <c r="C282" s="37">
        <f>SUM(D282:R282)</f>
        <v>45</v>
      </c>
      <c r="D282" s="31">
        <v>45</v>
      </c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29">
        <f>YEAR(Tabla2[[#This Row],[Fecha]])</f>
        <v>2024</v>
      </c>
    </row>
    <row r="283" hidden="1" spans="1:19">
      <c r="A283" s="27">
        <v>45351</v>
      </c>
      <c r="B283" s="27" t="s">
        <v>31</v>
      </c>
      <c r="C283" s="37">
        <f>SUM(D283:R283)</f>
        <v>24</v>
      </c>
      <c r="D283" s="31">
        <v>7</v>
      </c>
      <c r="E283" s="31">
        <v>4</v>
      </c>
      <c r="F283" s="31">
        <v>4</v>
      </c>
      <c r="G283" s="31">
        <v>9</v>
      </c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29">
        <f>YEAR(Tabla2[[#This Row],[Fecha]])</f>
        <v>2024</v>
      </c>
    </row>
    <row r="284" hidden="1" spans="1:19">
      <c r="A284" s="27">
        <v>45351</v>
      </c>
      <c r="B284" s="27" t="s">
        <v>33</v>
      </c>
      <c r="C284" s="37">
        <f>SUM(D284:R284)</f>
        <v>32</v>
      </c>
      <c r="D284" s="31">
        <v>32</v>
      </c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29">
        <f>YEAR(Tabla2[[#This Row],[Fecha]])</f>
        <v>2024</v>
      </c>
    </row>
    <row r="285" hidden="1" spans="1:19">
      <c r="A285" s="27">
        <v>45352</v>
      </c>
      <c r="B285" s="27" t="s">
        <v>31</v>
      </c>
      <c r="C285" s="37">
        <f>SUM(D285:R285)</f>
        <v>32</v>
      </c>
      <c r="D285" s="31">
        <v>5</v>
      </c>
      <c r="E285" s="31">
        <v>3</v>
      </c>
      <c r="F285" s="31">
        <v>5</v>
      </c>
      <c r="G285" s="31">
        <v>8</v>
      </c>
      <c r="H285" s="31">
        <v>4</v>
      </c>
      <c r="I285" s="31">
        <v>4</v>
      </c>
      <c r="J285" s="31">
        <v>3</v>
      </c>
      <c r="K285" s="31"/>
      <c r="L285" s="31"/>
      <c r="M285" s="31"/>
      <c r="N285" s="31"/>
      <c r="O285" s="31"/>
      <c r="P285" s="31"/>
      <c r="Q285" s="31"/>
      <c r="R285" s="31"/>
      <c r="S285" s="29">
        <f>YEAR(Tabla2[[#This Row],[Fecha]])</f>
        <v>2024</v>
      </c>
    </row>
    <row r="286" hidden="1" spans="1:19">
      <c r="A286" s="27">
        <v>45352</v>
      </c>
      <c r="B286" s="27" t="s">
        <v>33</v>
      </c>
      <c r="C286" s="37">
        <f>SUM(D286:R286)</f>
        <v>32</v>
      </c>
      <c r="D286" s="31">
        <v>32</v>
      </c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29">
        <f>YEAR(Tabla2[[#This Row],[Fecha]])</f>
        <v>2024</v>
      </c>
    </row>
    <row r="287" hidden="1" spans="1:19">
      <c r="A287" s="27">
        <v>45353</v>
      </c>
      <c r="B287" s="27" t="s">
        <v>31</v>
      </c>
      <c r="C287" s="37">
        <f>SUM(D287:R287)</f>
        <v>43</v>
      </c>
      <c r="D287" s="31">
        <v>3</v>
      </c>
      <c r="E287" s="31">
        <v>7</v>
      </c>
      <c r="F287" s="31">
        <v>5</v>
      </c>
      <c r="G287" s="31">
        <v>9</v>
      </c>
      <c r="H287" s="31">
        <v>4</v>
      </c>
      <c r="I287" s="31">
        <v>9</v>
      </c>
      <c r="J287" s="31">
        <v>6</v>
      </c>
      <c r="K287" s="31"/>
      <c r="L287" s="31"/>
      <c r="M287" s="31"/>
      <c r="N287" s="31"/>
      <c r="O287" s="31"/>
      <c r="P287" s="31"/>
      <c r="Q287" s="31"/>
      <c r="R287" s="31"/>
      <c r="S287" s="29">
        <f>YEAR(Tabla2[[#This Row],[Fecha]])</f>
        <v>2024</v>
      </c>
    </row>
    <row r="288" hidden="1" spans="1:19">
      <c r="A288" s="27">
        <v>45353</v>
      </c>
      <c r="B288" s="27" t="s">
        <v>33</v>
      </c>
      <c r="C288" s="37">
        <f>SUM(D288:R288)</f>
        <v>17</v>
      </c>
      <c r="D288" s="31">
        <v>17</v>
      </c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29">
        <f>YEAR(Tabla2[[#This Row],[Fecha]])</f>
        <v>2024</v>
      </c>
    </row>
    <row r="289" hidden="1" spans="1:19">
      <c r="A289" s="27">
        <v>45354</v>
      </c>
      <c r="B289" s="27" t="s">
        <v>33</v>
      </c>
      <c r="C289" s="37">
        <f>SUM(D289:R289)</f>
        <v>23</v>
      </c>
      <c r="D289" s="31">
        <v>23</v>
      </c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29">
        <f>YEAR(Tabla2[[#This Row],[Fecha]])</f>
        <v>2024</v>
      </c>
    </row>
    <row r="290" hidden="1" spans="1:19">
      <c r="A290" s="27">
        <v>45354</v>
      </c>
      <c r="B290" s="27" t="s">
        <v>38</v>
      </c>
      <c r="C290" s="37">
        <f>SUM(D290:R290)</f>
        <v>116</v>
      </c>
      <c r="D290" s="31">
        <f>120-4</f>
        <v>116</v>
      </c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29">
        <f>YEAR(Tabla2[[#This Row],[Fecha]])</f>
        <v>2024</v>
      </c>
    </row>
    <row r="291" hidden="1" spans="1:19">
      <c r="A291" s="27">
        <v>45355</v>
      </c>
      <c r="B291" s="27" t="s">
        <v>31</v>
      </c>
      <c r="C291" s="37">
        <f>SUM(D291:R291)</f>
        <v>24</v>
      </c>
      <c r="D291" s="31">
        <v>24</v>
      </c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29">
        <f>YEAR(Tabla2[[#This Row],[Fecha]])</f>
        <v>2024</v>
      </c>
    </row>
    <row r="292" hidden="1" spans="1:19">
      <c r="A292" s="27">
        <v>45355</v>
      </c>
      <c r="B292" s="27" t="s">
        <v>33</v>
      </c>
      <c r="C292" s="37">
        <f>SUM(D292:R292)</f>
        <v>15</v>
      </c>
      <c r="D292" s="31">
        <v>15</v>
      </c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29">
        <f>YEAR(Tabla2[[#This Row],[Fecha]])</f>
        <v>2024</v>
      </c>
    </row>
    <row r="293" hidden="1" spans="1:19">
      <c r="A293" s="27">
        <v>45356</v>
      </c>
      <c r="B293" s="27" t="s">
        <v>31</v>
      </c>
      <c r="C293" s="37">
        <f>SUM(D293:R293)</f>
        <v>35</v>
      </c>
      <c r="D293" s="31">
        <v>8</v>
      </c>
      <c r="E293" s="31">
        <v>8</v>
      </c>
      <c r="F293" s="31">
        <v>5</v>
      </c>
      <c r="G293" s="31">
        <v>6</v>
      </c>
      <c r="H293" s="31">
        <v>8</v>
      </c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29">
        <f>YEAR(Tabla2[[#This Row],[Fecha]])</f>
        <v>2024</v>
      </c>
    </row>
    <row r="294" hidden="1" spans="1:19">
      <c r="A294" s="27">
        <v>45356</v>
      </c>
      <c r="B294" s="27" t="s">
        <v>33</v>
      </c>
      <c r="C294" s="37">
        <f>SUM(D294:R294)</f>
        <v>15</v>
      </c>
      <c r="D294" s="31">
        <v>15</v>
      </c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29">
        <f>YEAR(Tabla2[[#This Row],[Fecha]])</f>
        <v>2024</v>
      </c>
    </row>
    <row r="295" hidden="1" spans="1:19">
      <c r="A295" s="27">
        <v>45357</v>
      </c>
      <c r="B295" s="27" t="s">
        <v>31</v>
      </c>
      <c r="C295" s="37">
        <f>SUM(D295:R295)</f>
        <v>34</v>
      </c>
      <c r="D295" s="31">
        <v>12</v>
      </c>
      <c r="E295" s="31">
        <v>6</v>
      </c>
      <c r="F295" s="31">
        <v>9</v>
      </c>
      <c r="G295" s="31">
        <v>7</v>
      </c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29">
        <f>YEAR(Tabla2[[#This Row],[Fecha]])</f>
        <v>2024</v>
      </c>
    </row>
    <row r="296" hidden="1" spans="1:19">
      <c r="A296" s="27">
        <v>45357</v>
      </c>
      <c r="B296" s="27" t="s">
        <v>33</v>
      </c>
      <c r="C296" s="37">
        <f>SUM(D296:R296)</f>
        <v>13</v>
      </c>
      <c r="D296" s="31">
        <v>13</v>
      </c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29">
        <f>YEAR(Tabla2[[#This Row],[Fecha]])</f>
        <v>2024</v>
      </c>
    </row>
    <row r="297" hidden="1" spans="1:19">
      <c r="A297" s="27">
        <v>45358</v>
      </c>
      <c r="B297" s="27" t="s">
        <v>31</v>
      </c>
      <c r="C297" s="37">
        <f>SUM(D297:R297)</f>
        <v>72</v>
      </c>
      <c r="D297" s="31">
        <v>22</v>
      </c>
      <c r="E297" s="31">
        <v>12</v>
      </c>
      <c r="F297" s="31">
        <v>15</v>
      </c>
      <c r="G297" s="31">
        <v>23</v>
      </c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29">
        <f>YEAR(Tabla2[[#This Row],[Fecha]])</f>
        <v>2024</v>
      </c>
    </row>
    <row r="298" hidden="1" spans="1:19">
      <c r="A298" s="27">
        <v>45358</v>
      </c>
      <c r="B298" s="27" t="s">
        <v>33</v>
      </c>
      <c r="C298" s="37">
        <f>SUM(D298:R298)</f>
        <v>14</v>
      </c>
      <c r="D298" s="31">
        <v>14</v>
      </c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29">
        <f>YEAR(Tabla2[[#This Row],[Fecha]])</f>
        <v>2024</v>
      </c>
    </row>
    <row r="299" hidden="1" spans="1:19">
      <c r="A299" s="27">
        <v>45359</v>
      </c>
      <c r="B299" s="27" t="s">
        <v>31</v>
      </c>
      <c r="C299" s="37">
        <f>SUM(D299:R299)</f>
        <v>18</v>
      </c>
      <c r="D299" s="31">
        <v>4</v>
      </c>
      <c r="E299" s="31">
        <v>14</v>
      </c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29">
        <f>YEAR(Tabla2[[#This Row],[Fecha]])</f>
        <v>2024</v>
      </c>
    </row>
    <row r="300" hidden="1" spans="1:19">
      <c r="A300" s="27">
        <v>45359</v>
      </c>
      <c r="B300" s="27" t="s">
        <v>33</v>
      </c>
      <c r="C300" s="37">
        <f>SUM(D300:R300)</f>
        <v>22</v>
      </c>
      <c r="D300" s="31">
        <v>22</v>
      </c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29">
        <f>YEAR(Tabla2[[#This Row],[Fecha]])</f>
        <v>2024</v>
      </c>
    </row>
    <row r="301" hidden="1" spans="1:19">
      <c r="A301" s="27">
        <v>45360</v>
      </c>
      <c r="B301" s="27" t="s">
        <v>31</v>
      </c>
      <c r="C301" s="37">
        <f>SUM(D301:R301)</f>
        <v>18</v>
      </c>
      <c r="D301" s="31">
        <v>9</v>
      </c>
      <c r="E301" s="31">
        <v>4</v>
      </c>
      <c r="F301" s="31">
        <v>3</v>
      </c>
      <c r="G301" s="31">
        <v>2</v>
      </c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29">
        <f>YEAR(Tabla2[[#This Row],[Fecha]])</f>
        <v>2024</v>
      </c>
    </row>
    <row r="302" hidden="1" spans="1:19">
      <c r="A302" s="27">
        <v>45361</v>
      </c>
      <c r="B302" s="27" t="s">
        <v>31</v>
      </c>
      <c r="C302" s="37">
        <f>SUM(D302:R302)</f>
        <v>34</v>
      </c>
      <c r="D302" s="31">
        <v>10</v>
      </c>
      <c r="E302" s="31">
        <v>4</v>
      </c>
      <c r="F302" s="31">
        <v>14</v>
      </c>
      <c r="G302" s="31">
        <v>6</v>
      </c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29">
        <f>YEAR(Tabla2[[#This Row],[Fecha]])</f>
        <v>2024</v>
      </c>
    </row>
    <row r="303" hidden="1" spans="1:19">
      <c r="A303" s="27">
        <v>45362</v>
      </c>
      <c r="B303" s="27" t="s">
        <v>31</v>
      </c>
      <c r="C303" s="37">
        <f>SUM(D303:R303)</f>
        <v>36</v>
      </c>
      <c r="D303" s="31">
        <v>14</v>
      </c>
      <c r="E303" s="31">
        <v>11</v>
      </c>
      <c r="F303" s="31">
        <v>4</v>
      </c>
      <c r="G303" s="31">
        <v>7</v>
      </c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29">
        <f>YEAR(Tabla2[[#This Row],[Fecha]])</f>
        <v>2024</v>
      </c>
    </row>
    <row r="304" hidden="1" spans="1:19">
      <c r="A304" s="27">
        <v>45362</v>
      </c>
      <c r="B304" s="27" t="s">
        <v>46</v>
      </c>
      <c r="C304" s="37">
        <f>SUM(D304:R304)</f>
        <v>37</v>
      </c>
      <c r="D304" s="31">
        <v>14</v>
      </c>
      <c r="E304" s="31">
        <v>13</v>
      </c>
      <c r="F304" s="31">
        <v>10</v>
      </c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29">
        <f>YEAR(Tabla2[[#This Row],[Fecha]])</f>
        <v>2024</v>
      </c>
    </row>
    <row r="305" hidden="1" spans="1:19">
      <c r="A305" s="27">
        <v>45363</v>
      </c>
      <c r="B305" s="27" t="s">
        <v>31</v>
      </c>
      <c r="C305" s="37">
        <f>SUM(D305:R305)</f>
        <v>25</v>
      </c>
      <c r="D305" s="31">
        <v>2</v>
      </c>
      <c r="E305" s="31">
        <v>7</v>
      </c>
      <c r="F305" s="31">
        <v>6</v>
      </c>
      <c r="G305" s="31">
        <v>5</v>
      </c>
      <c r="H305" s="31">
        <v>3</v>
      </c>
      <c r="I305" s="31">
        <v>2</v>
      </c>
      <c r="J305" s="31"/>
      <c r="K305" s="31"/>
      <c r="L305" s="31"/>
      <c r="M305" s="31"/>
      <c r="N305" s="31"/>
      <c r="O305" s="31"/>
      <c r="P305" s="31"/>
      <c r="Q305" s="31"/>
      <c r="R305" s="31"/>
      <c r="S305" s="29">
        <f>YEAR(Tabla2[[#This Row],[Fecha]])</f>
        <v>2024</v>
      </c>
    </row>
    <row r="306" hidden="1" spans="1:19">
      <c r="A306" s="27">
        <v>45363</v>
      </c>
      <c r="B306" s="27" t="s">
        <v>33</v>
      </c>
      <c r="C306" s="37">
        <f>SUM(D306:R306)</f>
        <v>13</v>
      </c>
      <c r="D306" s="31">
        <v>13</v>
      </c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29">
        <f>YEAR(Tabla2[[#This Row],[Fecha]])</f>
        <v>2024</v>
      </c>
    </row>
    <row r="307" hidden="1" spans="1:19">
      <c r="A307" s="27">
        <v>45364</v>
      </c>
      <c r="B307" s="27" t="s">
        <v>31</v>
      </c>
      <c r="C307" s="37">
        <f>SUM(D307:R307)</f>
        <v>32</v>
      </c>
      <c r="D307" s="31">
        <v>12</v>
      </c>
      <c r="E307" s="31">
        <v>5</v>
      </c>
      <c r="F307" s="31">
        <v>7</v>
      </c>
      <c r="G307" s="31">
        <v>5</v>
      </c>
      <c r="H307" s="31">
        <v>3</v>
      </c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29">
        <f>YEAR(Tabla2[[#This Row],[Fecha]])</f>
        <v>2024</v>
      </c>
    </row>
    <row r="308" hidden="1" spans="1:19">
      <c r="A308" s="27">
        <v>45365</v>
      </c>
      <c r="B308" s="27" t="s">
        <v>31</v>
      </c>
      <c r="C308" s="37">
        <f>SUM(D308:R308)</f>
        <v>24</v>
      </c>
      <c r="D308" s="31">
        <v>4</v>
      </c>
      <c r="E308" s="31">
        <v>10</v>
      </c>
      <c r="F308" s="31">
        <v>6</v>
      </c>
      <c r="G308" s="31">
        <v>4</v>
      </c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29">
        <f>YEAR(Tabla2[[#This Row],[Fecha]])</f>
        <v>2024</v>
      </c>
    </row>
    <row r="309" hidden="1" spans="1:19">
      <c r="A309" s="27">
        <v>45366</v>
      </c>
      <c r="B309" s="27" t="s">
        <v>31</v>
      </c>
      <c r="C309" s="37">
        <f>SUM(D309:R309)</f>
        <v>32</v>
      </c>
      <c r="D309" s="31">
        <v>1</v>
      </c>
      <c r="E309" s="31">
        <v>25</v>
      </c>
      <c r="F309" s="31">
        <v>6</v>
      </c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29">
        <f>YEAR(Tabla2[[#This Row],[Fecha]])</f>
        <v>2024</v>
      </c>
    </row>
    <row r="310" hidden="1" spans="1:19">
      <c r="A310" s="27">
        <v>45366</v>
      </c>
      <c r="B310" s="27" t="s">
        <v>47</v>
      </c>
      <c r="C310" s="37">
        <f>SUM(D310:R310)</f>
        <v>51</v>
      </c>
      <c r="D310" s="31">
        <v>51</v>
      </c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29">
        <f>YEAR(Tabla2[[#This Row],[Fecha]])</f>
        <v>2024</v>
      </c>
    </row>
    <row r="311" hidden="1" spans="1:19">
      <c r="A311" s="27">
        <v>45367</v>
      </c>
      <c r="B311" s="27" t="s">
        <v>31</v>
      </c>
      <c r="C311" s="37">
        <f>SUM(D311:R311)</f>
        <v>36</v>
      </c>
      <c r="D311" s="31">
        <v>12</v>
      </c>
      <c r="E311" s="31">
        <v>7</v>
      </c>
      <c r="F311" s="31">
        <v>17</v>
      </c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29">
        <f>YEAR(Tabla2[[#This Row],[Fecha]])</f>
        <v>2024</v>
      </c>
    </row>
    <row r="312" hidden="1" spans="1:19">
      <c r="A312" s="27">
        <v>45368</v>
      </c>
      <c r="B312" s="27" t="s">
        <v>31</v>
      </c>
      <c r="C312" s="37">
        <f>SUM(D312:R312)</f>
        <v>96</v>
      </c>
      <c r="D312" s="31">
        <v>4</v>
      </c>
      <c r="E312" s="31">
        <v>3</v>
      </c>
      <c r="F312" s="31">
        <v>9</v>
      </c>
      <c r="G312" s="31">
        <v>8</v>
      </c>
      <c r="H312" s="31">
        <v>72</v>
      </c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29">
        <f>YEAR(Tabla2[[#This Row],[Fecha]])</f>
        <v>2024</v>
      </c>
    </row>
    <row r="313" hidden="1" spans="1:19">
      <c r="A313" s="27">
        <v>45369</v>
      </c>
      <c r="B313" s="27" t="s">
        <v>31</v>
      </c>
      <c r="C313" s="37">
        <f>SUM(D313:R313)</f>
        <v>71</v>
      </c>
      <c r="D313" s="31">
        <v>71</v>
      </c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29">
        <f>YEAR(Tabla2[[#This Row],[Fecha]])</f>
        <v>2024</v>
      </c>
    </row>
    <row r="314" hidden="1" spans="1:19">
      <c r="A314" s="27">
        <v>45369</v>
      </c>
      <c r="B314" s="27" t="s">
        <v>33</v>
      </c>
      <c r="C314" s="37">
        <f>SUM(D314:R314)</f>
        <v>13</v>
      </c>
      <c r="D314" s="31">
        <v>13</v>
      </c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29">
        <f>YEAR(Tabla2[[#This Row],[Fecha]])</f>
        <v>2024</v>
      </c>
    </row>
    <row r="315" hidden="1" spans="1:19">
      <c r="A315" s="27">
        <v>45370</v>
      </c>
      <c r="B315" s="27" t="s">
        <v>31</v>
      </c>
      <c r="C315" s="37">
        <f>SUM(D315:R315)</f>
        <v>103</v>
      </c>
      <c r="D315" s="31">
        <v>86</v>
      </c>
      <c r="E315" s="31">
        <v>5</v>
      </c>
      <c r="F315" s="31">
        <v>3</v>
      </c>
      <c r="G315" s="31">
        <v>4</v>
      </c>
      <c r="H315" s="31">
        <v>3</v>
      </c>
      <c r="I315" s="31">
        <v>2</v>
      </c>
      <c r="J315" s="31"/>
      <c r="K315" s="31"/>
      <c r="L315" s="31"/>
      <c r="M315" s="31"/>
      <c r="N315" s="31"/>
      <c r="O315" s="31"/>
      <c r="P315" s="31"/>
      <c r="Q315" s="31"/>
      <c r="R315" s="31"/>
      <c r="S315" s="29">
        <f>YEAR(Tabla2[[#This Row],[Fecha]])</f>
        <v>2024</v>
      </c>
    </row>
    <row r="316" hidden="1" spans="1:19">
      <c r="A316" s="27">
        <v>45370</v>
      </c>
      <c r="B316" s="27" t="s">
        <v>33</v>
      </c>
      <c r="C316" s="37">
        <f>SUM(D316:R316)</f>
        <v>17</v>
      </c>
      <c r="D316" s="31">
        <v>17</v>
      </c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29">
        <f>YEAR(Tabla2[[#This Row],[Fecha]])</f>
        <v>2024</v>
      </c>
    </row>
    <row r="317" hidden="1" spans="1:19">
      <c r="A317" s="27">
        <v>45371</v>
      </c>
      <c r="B317" s="27" t="s">
        <v>31</v>
      </c>
      <c r="C317" s="37">
        <f>SUM(D317:R317)</f>
        <v>53</v>
      </c>
      <c r="D317" s="31">
        <v>53</v>
      </c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29">
        <f>YEAR(Tabla2[[#This Row],[Fecha]])</f>
        <v>2024</v>
      </c>
    </row>
    <row r="318" hidden="1" spans="1:19">
      <c r="A318" s="27">
        <v>45371</v>
      </c>
      <c r="B318" s="27" t="s">
        <v>33</v>
      </c>
      <c r="C318" s="37">
        <f>SUM(D318:R318)</f>
        <v>9</v>
      </c>
      <c r="D318" s="31">
        <v>9</v>
      </c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29">
        <f>YEAR(Tabla2[[#This Row],[Fecha]])</f>
        <v>2024</v>
      </c>
    </row>
    <row r="319" hidden="1" spans="1:19">
      <c r="A319" s="27">
        <v>45372</v>
      </c>
      <c r="B319" s="27" t="s">
        <v>31</v>
      </c>
      <c r="C319" s="37">
        <f>SUM(D319:R319)</f>
        <v>34</v>
      </c>
      <c r="D319" s="31">
        <v>34</v>
      </c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29">
        <f>YEAR(Tabla2[[#This Row],[Fecha]])</f>
        <v>2024</v>
      </c>
    </row>
    <row r="320" hidden="1" spans="1:19">
      <c r="A320" s="27">
        <v>45372</v>
      </c>
      <c r="B320" s="27" t="s">
        <v>33</v>
      </c>
      <c r="C320" s="37">
        <f>SUM(D320:R320)</f>
        <v>8</v>
      </c>
      <c r="D320" s="31">
        <v>8</v>
      </c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29">
        <f>YEAR(Tabla2[[#This Row],[Fecha]])</f>
        <v>2024</v>
      </c>
    </row>
    <row r="321" hidden="1" spans="1:19">
      <c r="A321" s="27">
        <v>45373</v>
      </c>
      <c r="B321" s="27" t="s">
        <v>31</v>
      </c>
      <c r="C321" s="37">
        <f>SUM(D321:R321)</f>
        <v>63</v>
      </c>
      <c r="D321" s="31">
        <v>63</v>
      </c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29">
        <f>YEAR(Tabla2[[#This Row],[Fecha]])</f>
        <v>2024</v>
      </c>
    </row>
    <row r="322" hidden="1" spans="1:19">
      <c r="A322" s="27">
        <v>45373</v>
      </c>
      <c r="B322" s="27" t="s">
        <v>33</v>
      </c>
      <c r="C322" s="37">
        <f>SUM(D322:R322)</f>
        <v>7</v>
      </c>
      <c r="D322" s="31">
        <v>7</v>
      </c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29">
        <f>YEAR(Tabla2[[#This Row],[Fecha]])</f>
        <v>2024</v>
      </c>
    </row>
    <row r="323" hidden="1" spans="1:19">
      <c r="A323" s="27">
        <v>45373</v>
      </c>
      <c r="B323" s="27" t="s">
        <v>47</v>
      </c>
      <c r="C323" s="37">
        <f>SUM(D323:R323)</f>
        <v>51</v>
      </c>
      <c r="D323" s="31">
        <v>51</v>
      </c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29">
        <f>YEAR(Tabla2[[#This Row],[Fecha]])</f>
        <v>2024</v>
      </c>
    </row>
    <row r="324" hidden="1" spans="1:19">
      <c r="A324" s="27">
        <v>45375</v>
      </c>
      <c r="B324" s="27" t="s">
        <v>31</v>
      </c>
      <c r="C324" s="37">
        <f>SUM(D324:R324)</f>
        <v>74</v>
      </c>
      <c r="D324" s="31">
        <v>74</v>
      </c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29">
        <f>YEAR(Tabla2[[#This Row],[Fecha]])</f>
        <v>2024</v>
      </c>
    </row>
    <row r="325" hidden="1" spans="1:19">
      <c r="A325" s="27">
        <v>45376</v>
      </c>
      <c r="B325" s="27" t="s">
        <v>31</v>
      </c>
      <c r="C325" s="37">
        <f>SUM(D325:R325)</f>
        <v>63</v>
      </c>
      <c r="D325" s="31">
        <v>63</v>
      </c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29">
        <f>YEAR(Tabla2[[#This Row],[Fecha]])</f>
        <v>2024</v>
      </c>
    </row>
    <row r="326" hidden="1" spans="1:19">
      <c r="A326" s="27">
        <v>45377</v>
      </c>
      <c r="B326" s="27" t="s">
        <v>31</v>
      </c>
      <c r="C326" s="37">
        <f>SUM(D326:R326)</f>
        <v>43</v>
      </c>
      <c r="D326" s="31">
        <v>20</v>
      </c>
      <c r="E326" s="31">
        <v>6</v>
      </c>
      <c r="F326" s="31">
        <v>2</v>
      </c>
      <c r="G326" s="31">
        <v>12</v>
      </c>
      <c r="H326" s="31">
        <v>3</v>
      </c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29">
        <f>YEAR(Tabla2[[#This Row],[Fecha]])</f>
        <v>2024</v>
      </c>
    </row>
    <row r="327" hidden="1" spans="1:19">
      <c r="A327" s="27">
        <v>45377</v>
      </c>
      <c r="B327" s="27" t="s">
        <v>33</v>
      </c>
      <c r="C327" s="37">
        <f>SUM(D327:R327)</f>
        <v>6</v>
      </c>
      <c r="D327" s="31">
        <v>6</v>
      </c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29">
        <f>YEAR(Tabla2[[#This Row],[Fecha]])</f>
        <v>2024</v>
      </c>
    </row>
    <row r="328" hidden="1" spans="1:19">
      <c r="A328" s="27">
        <v>45378</v>
      </c>
      <c r="B328" s="27" t="s">
        <v>31</v>
      </c>
      <c r="C328" s="37">
        <f>SUM(D328:R328)</f>
        <v>30</v>
      </c>
      <c r="D328" s="31">
        <v>11</v>
      </c>
      <c r="E328" s="31">
        <v>10</v>
      </c>
      <c r="F328" s="31">
        <v>9</v>
      </c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29">
        <f>YEAR(Tabla2[[#This Row],[Fecha]])</f>
        <v>2024</v>
      </c>
    </row>
    <row r="329" hidden="1" spans="1:19">
      <c r="A329" s="27">
        <v>45383</v>
      </c>
      <c r="B329" s="27" t="s">
        <v>31</v>
      </c>
      <c r="C329" s="37">
        <f>SUM(D329:R329)</f>
        <v>40</v>
      </c>
      <c r="D329" s="31">
        <v>20</v>
      </c>
      <c r="E329" s="31">
        <v>20</v>
      </c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29">
        <f>YEAR(Tabla2[[#This Row],[Fecha]])</f>
        <v>2024</v>
      </c>
    </row>
    <row r="330" hidden="1" spans="1:19">
      <c r="A330" s="27">
        <v>45383</v>
      </c>
      <c r="B330" s="27" t="s">
        <v>33</v>
      </c>
      <c r="C330" s="37">
        <f>SUM(D330:R330)</f>
        <v>10</v>
      </c>
      <c r="D330" s="31">
        <v>10</v>
      </c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29">
        <f>YEAR(Tabla2[[#This Row],[Fecha]])</f>
        <v>2024</v>
      </c>
    </row>
    <row r="331" hidden="1" spans="1:19">
      <c r="A331" s="27">
        <v>45384</v>
      </c>
      <c r="B331" s="27" t="s">
        <v>31</v>
      </c>
      <c r="C331" s="37">
        <f>SUM(D331:R331)</f>
        <v>39</v>
      </c>
      <c r="D331" s="31">
        <v>11</v>
      </c>
      <c r="E331" s="31">
        <v>13</v>
      </c>
      <c r="F331" s="31">
        <v>15</v>
      </c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29">
        <f>YEAR(Tabla2[[#This Row],[Fecha]])</f>
        <v>2024</v>
      </c>
    </row>
    <row r="332" hidden="1" spans="1:19">
      <c r="A332" s="27">
        <v>45384</v>
      </c>
      <c r="B332" s="27" t="s">
        <v>47</v>
      </c>
      <c r="C332" s="37">
        <f>SUM(D332:R332)</f>
        <v>30</v>
      </c>
      <c r="D332" s="31">
        <v>30</v>
      </c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29">
        <f>YEAR(Tabla2[[#This Row],[Fecha]])</f>
        <v>2024</v>
      </c>
    </row>
    <row r="333" hidden="1" spans="1:19">
      <c r="A333" s="27">
        <v>45385</v>
      </c>
      <c r="B333" s="27" t="s">
        <v>31</v>
      </c>
      <c r="C333" s="37">
        <f>SUM(D333:R333)</f>
        <v>38</v>
      </c>
      <c r="D333" s="31">
        <v>7</v>
      </c>
      <c r="E333" s="31">
        <v>13</v>
      </c>
      <c r="F333" s="31">
        <v>18</v>
      </c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29">
        <f>YEAR(Tabla2[[#This Row],[Fecha]])</f>
        <v>2024</v>
      </c>
    </row>
    <row r="334" hidden="1" spans="1:19">
      <c r="A334" s="27">
        <v>45385</v>
      </c>
      <c r="B334" s="27" t="s">
        <v>47</v>
      </c>
      <c r="C334" s="37">
        <f>SUM(D334:R334)</f>
        <v>21</v>
      </c>
      <c r="D334" s="31">
        <v>21</v>
      </c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29">
        <f>YEAR(Tabla2[[#This Row],[Fecha]])</f>
        <v>2024</v>
      </c>
    </row>
    <row r="335" hidden="1" spans="1:19">
      <c r="A335" s="27">
        <v>45386</v>
      </c>
      <c r="B335" s="27" t="s">
        <v>31</v>
      </c>
      <c r="C335" s="37">
        <f>SUM(D335:R335)</f>
        <v>30</v>
      </c>
      <c r="D335" s="31">
        <v>6</v>
      </c>
      <c r="E335" s="31">
        <v>5</v>
      </c>
      <c r="F335" s="31">
        <v>19</v>
      </c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29">
        <f>YEAR(Tabla2[[#This Row],[Fecha]])</f>
        <v>2024</v>
      </c>
    </row>
    <row r="336" hidden="1" spans="1:19">
      <c r="A336" s="27">
        <v>45386</v>
      </c>
      <c r="B336" s="27" t="s">
        <v>33</v>
      </c>
      <c r="C336" s="37">
        <f>SUM(D336:R336)</f>
        <v>11</v>
      </c>
      <c r="D336" s="31">
        <v>11</v>
      </c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29">
        <f>YEAR(Tabla2[[#This Row],[Fecha]])</f>
        <v>2024</v>
      </c>
    </row>
    <row r="337" hidden="1" spans="1:19">
      <c r="A337" s="27">
        <v>45387</v>
      </c>
      <c r="B337" s="27" t="s">
        <v>31</v>
      </c>
      <c r="C337" s="37">
        <f>SUM(D337:R337)</f>
        <v>46</v>
      </c>
      <c r="D337" s="31">
        <v>4</v>
      </c>
      <c r="E337" s="31">
        <v>11</v>
      </c>
      <c r="F337" s="31">
        <v>9</v>
      </c>
      <c r="G337" s="31">
        <v>4</v>
      </c>
      <c r="H337" s="31">
        <v>4</v>
      </c>
      <c r="I337" s="31">
        <v>14</v>
      </c>
      <c r="J337" s="31"/>
      <c r="K337" s="31"/>
      <c r="L337" s="31"/>
      <c r="M337" s="31"/>
      <c r="N337" s="31"/>
      <c r="O337" s="31"/>
      <c r="P337" s="31"/>
      <c r="Q337" s="31"/>
      <c r="R337" s="31"/>
      <c r="S337" s="29">
        <f>YEAR(Tabla2[[#This Row],[Fecha]])</f>
        <v>2024</v>
      </c>
    </row>
    <row r="338" hidden="1" spans="1:19">
      <c r="A338" s="27">
        <v>45387</v>
      </c>
      <c r="B338" s="27" t="s">
        <v>33</v>
      </c>
      <c r="C338" s="37">
        <f>SUM(D338:R338)</f>
        <v>19</v>
      </c>
      <c r="D338" s="31">
        <v>19</v>
      </c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29">
        <f>YEAR(Tabla2[[#This Row],[Fecha]])</f>
        <v>2024</v>
      </c>
    </row>
    <row r="339" hidden="1" spans="1:19">
      <c r="A339" s="27">
        <v>45390</v>
      </c>
      <c r="B339" s="27" t="s">
        <v>31</v>
      </c>
      <c r="C339" s="37">
        <f>SUM(D339:R339)</f>
        <v>50</v>
      </c>
      <c r="D339" s="31">
        <v>50</v>
      </c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29">
        <f>YEAR(Tabla2[[#This Row],[Fecha]])</f>
        <v>2024</v>
      </c>
    </row>
    <row r="340" hidden="1" spans="1:19">
      <c r="A340" s="27">
        <v>45391</v>
      </c>
      <c r="B340" s="27" t="s">
        <v>31</v>
      </c>
      <c r="C340" s="37">
        <f>SUM(D340:R340)</f>
        <v>40</v>
      </c>
      <c r="D340" s="31">
        <v>40</v>
      </c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29">
        <f>YEAR(Tabla2[[#This Row],[Fecha]])</f>
        <v>2024</v>
      </c>
    </row>
    <row r="341" hidden="1" spans="1:19">
      <c r="A341" s="27">
        <v>45392</v>
      </c>
      <c r="B341" s="27" t="s">
        <v>31</v>
      </c>
      <c r="C341" s="37">
        <f>SUM(D341:R341)</f>
        <v>30</v>
      </c>
      <c r="D341" s="31">
        <v>30</v>
      </c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29">
        <f>YEAR(Tabla2[[#This Row],[Fecha]])</f>
        <v>2024</v>
      </c>
    </row>
    <row r="342" hidden="1" spans="1:19">
      <c r="A342" s="27">
        <v>45393</v>
      </c>
      <c r="B342" s="27" t="s">
        <v>31</v>
      </c>
      <c r="C342" s="37">
        <f>SUM(D342:R342)</f>
        <v>30</v>
      </c>
      <c r="D342" s="31">
        <v>30</v>
      </c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29">
        <f>YEAR(Tabla2[[#This Row],[Fecha]])</f>
        <v>2024</v>
      </c>
    </row>
    <row r="343" hidden="1" spans="1:19">
      <c r="A343" s="27">
        <v>45394</v>
      </c>
      <c r="B343" s="27" t="s">
        <v>48</v>
      </c>
      <c r="C343" s="37">
        <f>SUM(D343:R343)</f>
        <v>18</v>
      </c>
      <c r="D343" s="31">
        <v>18</v>
      </c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29">
        <f>YEAR(Tabla2[[#This Row],[Fecha]])</f>
        <v>2024</v>
      </c>
    </row>
    <row r="344" hidden="1" spans="1:19">
      <c r="A344" s="27">
        <v>45394</v>
      </c>
      <c r="B344" s="27" t="s">
        <v>31</v>
      </c>
      <c r="C344" s="37">
        <f>SUM(D344:R344)</f>
        <v>20</v>
      </c>
      <c r="D344" s="31">
        <v>20</v>
      </c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29">
        <f>YEAR(Tabla2[[#This Row],[Fecha]])</f>
        <v>2024</v>
      </c>
    </row>
    <row r="345" hidden="1" spans="1:19">
      <c r="A345" s="27">
        <v>45395</v>
      </c>
      <c r="B345" s="27" t="s">
        <v>48</v>
      </c>
      <c r="C345" s="37">
        <f>SUM(D345:R345)</f>
        <v>35</v>
      </c>
      <c r="D345" s="31">
        <v>16</v>
      </c>
      <c r="E345" s="31">
        <v>19</v>
      </c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29">
        <f>YEAR(Tabla2[[#This Row],[Fecha]])</f>
        <v>2024</v>
      </c>
    </row>
    <row r="346" hidden="1" spans="1:19">
      <c r="A346" s="27">
        <v>45396</v>
      </c>
      <c r="B346" s="27" t="s">
        <v>48</v>
      </c>
      <c r="C346" s="37">
        <f>SUM(D346:R346)</f>
        <v>43</v>
      </c>
      <c r="D346" s="31">
        <v>13</v>
      </c>
      <c r="E346" s="31">
        <v>30</v>
      </c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29">
        <f>YEAR(Tabla2[[#This Row],[Fecha]])</f>
        <v>2024</v>
      </c>
    </row>
    <row r="347" hidden="1" spans="1:19">
      <c r="A347" s="27">
        <v>45397</v>
      </c>
      <c r="B347" s="27" t="s">
        <v>31</v>
      </c>
      <c r="C347" s="37">
        <f>SUM(D347:R347)</f>
        <v>39</v>
      </c>
      <c r="D347" s="31">
        <v>39</v>
      </c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29">
        <f>YEAR(Tabla2[[#This Row],[Fecha]])</f>
        <v>2024</v>
      </c>
    </row>
    <row r="348" hidden="1" spans="1:19">
      <c r="A348" s="27">
        <v>45398</v>
      </c>
      <c r="B348" s="27" t="s">
        <v>31</v>
      </c>
      <c r="C348" s="37">
        <f>SUM(D348:R348)</f>
        <v>32</v>
      </c>
      <c r="D348" s="31">
        <v>32</v>
      </c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29">
        <f>YEAR(Tabla2[[#This Row],[Fecha]])</f>
        <v>2024</v>
      </c>
    </row>
    <row r="349" hidden="1" spans="1:19">
      <c r="A349" s="27">
        <v>45399</v>
      </c>
      <c r="B349" s="27" t="s">
        <v>31</v>
      </c>
      <c r="C349" s="37">
        <f>SUM(D349:R349)</f>
        <v>35</v>
      </c>
      <c r="D349" s="31">
        <v>12</v>
      </c>
      <c r="E349" s="31">
        <v>23</v>
      </c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29">
        <f>YEAR(Tabla2[[#This Row],[Fecha]])</f>
        <v>2024</v>
      </c>
    </row>
    <row r="350" hidden="1" spans="1:19">
      <c r="A350" s="27">
        <v>45400</v>
      </c>
      <c r="B350" s="27" t="s">
        <v>31</v>
      </c>
      <c r="C350" s="37">
        <f>SUM(D350:R350)</f>
        <v>44</v>
      </c>
      <c r="D350" s="31">
        <v>12</v>
      </c>
      <c r="E350" s="31">
        <v>10</v>
      </c>
      <c r="F350" s="31">
        <v>22</v>
      </c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29">
        <f>YEAR(Tabla2[[#This Row],[Fecha]])</f>
        <v>2024</v>
      </c>
    </row>
    <row r="351" hidden="1" spans="1:19">
      <c r="A351" s="27">
        <v>45401</v>
      </c>
      <c r="B351" s="27" t="s">
        <v>31</v>
      </c>
      <c r="C351" s="37">
        <f>SUM(D351:R351)</f>
        <v>44</v>
      </c>
      <c r="D351" s="31">
        <v>44</v>
      </c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29">
        <f>YEAR(Tabla2[[#This Row],[Fecha]])</f>
        <v>2024</v>
      </c>
    </row>
    <row r="352" hidden="1" spans="1:19">
      <c r="A352" s="27">
        <v>45404</v>
      </c>
      <c r="B352" s="27" t="s">
        <v>31</v>
      </c>
      <c r="C352" s="37">
        <f>SUM(D352:R352)</f>
        <v>40</v>
      </c>
      <c r="D352" s="31">
        <v>11</v>
      </c>
      <c r="E352" s="31">
        <v>16</v>
      </c>
      <c r="F352" s="31">
        <v>13</v>
      </c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29">
        <f>YEAR(Tabla2[[#This Row],[Fecha]])</f>
        <v>2024</v>
      </c>
    </row>
    <row r="353" hidden="1" spans="1:19">
      <c r="A353" s="27">
        <v>45405</v>
      </c>
      <c r="B353" s="27" t="s">
        <v>31</v>
      </c>
      <c r="C353" s="37">
        <f>SUM(D353:R353)</f>
        <v>51</v>
      </c>
      <c r="D353" s="31">
        <v>9</v>
      </c>
      <c r="E353" s="31">
        <v>8</v>
      </c>
      <c r="F353" s="31">
        <v>9</v>
      </c>
      <c r="G353" s="31">
        <v>8</v>
      </c>
      <c r="H353" s="31">
        <v>17</v>
      </c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29">
        <f>YEAR(Tabla2[[#This Row],[Fecha]])</f>
        <v>2024</v>
      </c>
    </row>
    <row r="354" hidden="1" spans="1:19">
      <c r="A354" s="27">
        <v>45406</v>
      </c>
      <c r="B354" s="27" t="s">
        <v>31</v>
      </c>
      <c r="C354" s="37">
        <f>SUM(D354:R354)</f>
        <v>47</v>
      </c>
      <c r="D354" s="31">
        <v>7</v>
      </c>
      <c r="E354" s="31">
        <v>14</v>
      </c>
      <c r="F354" s="31">
        <v>5</v>
      </c>
      <c r="G354" s="31">
        <v>15</v>
      </c>
      <c r="H354" s="31">
        <v>6</v>
      </c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29">
        <f>YEAR(Tabla2[[#This Row],[Fecha]])</f>
        <v>2024</v>
      </c>
    </row>
    <row r="355" hidden="1" spans="1:19">
      <c r="A355" s="27">
        <v>45407</v>
      </c>
      <c r="B355" s="27" t="s">
        <v>31</v>
      </c>
      <c r="C355" s="37">
        <f>SUM(D355:R355)</f>
        <v>33</v>
      </c>
      <c r="D355" s="31">
        <v>24</v>
      </c>
      <c r="E355" s="31">
        <v>9</v>
      </c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29">
        <f>YEAR(Tabla2[[#This Row],[Fecha]])</f>
        <v>2024</v>
      </c>
    </row>
    <row r="356" hidden="1" spans="1:19">
      <c r="A356" s="27">
        <v>45408</v>
      </c>
      <c r="B356" s="27" t="s">
        <v>31</v>
      </c>
      <c r="C356" s="37">
        <f>SUM(D356:R356)</f>
        <v>41</v>
      </c>
      <c r="D356" s="31">
        <v>7</v>
      </c>
      <c r="E356" s="31">
        <v>12</v>
      </c>
      <c r="F356" s="31">
        <v>22</v>
      </c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29">
        <f>YEAR(Tabla2[[#This Row],[Fecha]])</f>
        <v>2024</v>
      </c>
    </row>
    <row r="357" hidden="1" spans="1:19">
      <c r="A357" s="27">
        <v>45410</v>
      </c>
      <c r="B357" s="27" t="s">
        <v>31</v>
      </c>
      <c r="C357" s="37">
        <f>SUM(D357:R357)</f>
        <v>157</v>
      </c>
      <c r="D357" s="31">
        <v>70</v>
      </c>
      <c r="E357" s="31">
        <v>87</v>
      </c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29">
        <f>YEAR(Tabla2[[#This Row],[Fecha]])</f>
        <v>2024</v>
      </c>
    </row>
    <row r="358" hidden="1" spans="1:19">
      <c r="A358" s="27">
        <v>45411</v>
      </c>
      <c r="B358" s="27" t="s">
        <v>31</v>
      </c>
      <c r="C358" s="37">
        <f>SUM(D358:R358)</f>
        <v>33</v>
      </c>
      <c r="D358" s="31">
        <v>13</v>
      </c>
      <c r="E358" s="31">
        <v>3</v>
      </c>
      <c r="F358" s="31">
        <v>4</v>
      </c>
      <c r="G358" s="31">
        <v>13</v>
      </c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29">
        <f>YEAR(Tabla2[[#This Row],[Fecha]])</f>
        <v>2024</v>
      </c>
    </row>
    <row r="359" hidden="1" spans="1:19">
      <c r="A359" s="27">
        <v>45412</v>
      </c>
      <c r="B359" s="27" t="s">
        <v>31</v>
      </c>
      <c r="C359" s="37">
        <f>SUM(D359:R359)</f>
        <v>33</v>
      </c>
      <c r="D359" s="31">
        <v>10</v>
      </c>
      <c r="E359" s="31">
        <v>18</v>
      </c>
      <c r="F359" s="31">
        <v>5</v>
      </c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29">
        <f>YEAR(Tabla2[[#This Row],[Fecha]])</f>
        <v>2024</v>
      </c>
    </row>
    <row r="360" hidden="1" spans="1:19">
      <c r="A360" s="27">
        <v>45414</v>
      </c>
      <c r="B360" s="27" t="s">
        <v>31</v>
      </c>
      <c r="C360" s="37">
        <f>SUM(D360:R360)</f>
        <v>22</v>
      </c>
      <c r="D360" s="31">
        <v>6</v>
      </c>
      <c r="E360" s="31">
        <v>4</v>
      </c>
      <c r="F360" s="31">
        <v>3</v>
      </c>
      <c r="G360" s="31">
        <v>7</v>
      </c>
      <c r="H360" s="31">
        <v>2</v>
      </c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29">
        <f>YEAR(Tabla2[[#This Row],[Fecha]])</f>
        <v>2024</v>
      </c>
    </row>
    <row r="361" hidden="1" spans="1:19">
      <c r="A361" s="27">
        <v>45415</v>
      </c>
      <c r="B361" s="27" t="s">
        <v>31</v>
      </c>
      <c r="C361" s="37">
        <f>SUM(D361:R361)</f>
        <v>37</v>
      </c>
      <c r="D361" s="31">
        <v>37</v>
      </c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29">
        <f>YEAR(Tabla2[[#This Row],[Fecha]])</f>
        <v>2024</v>
      </c>
    </row>
    <row r="362" hidden="1" spans="1:19">
      <c r="A362" s="27">
        <v>45418</v>
      </c>
      <c r="B362" s="27" t="s">
        <v>31</v>
      </c>
      <c r="C362" s="37">
        <f>SUM(D362:R362)</f>
        <v>31</v>
      </c>
      <c r="D362" s="31">
        <v>20</v>
      </c>
      <c r="E362" s="31">
        <v>11</v>
      </c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29">
        <f>YEAR(Tabla2[[#This Row],[Fecha]])</f>
        <v>2024</v>
      </c>
    </row>
    <row r="363" hidden="1" spans="1:19">
      <c r="A363" s="27">
        <v>45419</v>
      </c>
      <c r="B363" s="27" t="s">
        <v>31</v>
      </c>
      <c r="C363" s="37">
        <f>SUM(D363:R363)</f>
        <v>53</v>
      </c>
      <c r="D363" s="31">
        <v>5</v>
      </c>
      <c r="E363" s="31">
        <v>6</v>
      </c>
      <c r="F363" s="31">
        <v>4</v>
      </c>
      <c r="G363" s="31">
        <v>10</v>
      </c>
      <c r="H363" s="31">
        <v>8</v>
      </c>
      <c r="I363" s="31">
        <v>11</v>
      </c>
      <c r="J363" s="31">
        <v>9</v>
      </c>
      <c r="K363" s="31"/>
      <c r="L363" s="31"/>
      <c r="M363" s="31"/>
      <c r="N363" s="31"/>
      <c r="O363" s="31"/>
      <c r="P363" s="31"/>
      <c r="Q363" s="31"/>
      <c r="R363" s="31"/>
      <c r="S363" s="29">
        <f>YEAR(Tabla2[[#This Row],[Fecha]])</f>
        <v>2024</v>
      </c>
    </row>
    <row r="364" hidden="1" spans="1:19">
      <c r="A364" s="27">
        <v>45420</v>
      </c>
      <c r="B364" s="27" t="s">
        <v>31</v>
      </c>
      <c r="C364" s="37">
        <f>SUM(D364:R364)</f>
        <v>35</v>
      </c>
      <c r="D364" s="31">
        <v>26</v>
      </c>
      <c r="E364" s="31">
        <v>9</v>
      </c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29">
        <f>YEAR(Tabla2[[#This Row],[Fecha]])</f>
        <v>2024</v>
      </c>
    </row>
    <row r="365" hidden="1" spans="1:19">
      <c r="A365" s="27">
        <v>45421</v>
      </c>
      <c r="B365" s="27" t="s">
        <v>31</v>
      </c>
      <c r="C365" s="37">
        <f>SUM(D365:R365)</f>
        <v>35</v>
      </c>
      <c r="D365" s="31">
        <v>5</v>
      </c>
      <c r="E365" s="31">
        <v>12</v>
      </c>
      <c r="F365" s="31">
        <v>6</v>
      </c>
      <c r="G365" s="31">
        <v>12</v>
      </c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29">
        <f>YEAR(Tabla2[[#This Row],[Fecha]])</f>
        <v>2024</v>
      </c>
    </row>
    <row r="366" hidden="1" spans="1:19">
      <c r="A366" s="27">
        <v>45422</v>
      </c>
      <c r="B366" s="27" t="s">
        <v>31</v>
      </c>
      <c r="C366" s="37">
        <f>SUM(D366:R366)</f>
        <v>32</v>
      </c>
      <c r="D366" s="31">
        <v>9</v>
      </c>
      <c r="E366" s="31">
        <v>9</v>
      </c>
      <c r="F366" s="31">
        <v>2</v>
      </c>
      <c r="G366" s="31">
        <v>5</v>
      </c>
      <c r="H366" s="31">
        <v>2</v>
      </c>
      <c r="I366" s="31">
        <v>5</v>
      </c>
      <c r="J366" s="31"/>
      <c r="K366" s="31"/>
      <c r="L366" s="31"/>
      <c r="M366" s="31"/>
      <c r="N366" s="31"/>
      <c r="O366" s="31"/>
      <c r="P366" s="31"/>
      <c r="Q366" s="31"/>
      <c r="R366" s="31"/>
      <c r="S366" s="29">
        <f>YEAR(Tabla2[[#This Row],[Fecha]])</f>
        <v>2024</v>
      </c>
    </row>
    <row r="367" hidden="1" spans="1:19">
      <c r="A367" s="27">
        <v>45423</v>
      </c>
      <c r="B367" s="27" t="s">
        <v>41</v>
      </c>
      <c r="C367" s="37">
        <f>SUM(D367:R367)</f>
        <v>4</v>
      </c>
      <c r="D367" s="31">
        <v>4</v>
      </c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29">
        <f>YEAR(Tabla2[[#This Row],[Fecha]])</f>
        <v>2024</v>
      </c>
    </row>
    <row r="368" hidden="1" spans="1:19">
      <c r="A368" s="27">
        <v>45424</v>
      </c>
      <c r="B368" s="27" t="s">
        <v>41</v>
      </c>
      <c r="C368" s="37">
        <f>SUM(D368:R368)</f>
        <v>13</v>
      </c>
      <c r="D368" s="31">
        <v>5</v>
      </c>
      <c r="E368" s="31">
        <v>8</v>
      </c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29">
        <f>YEAR(Tabla2[[#This Row],[Fecha]])</f>
        <v>2024</v>
      </c>
    </row>
    <row r="369" hidden="1" spans="1:19">
      <c r="A369" s="27">
        <v>45425</v>
      </c>
      <c r="B369" s="27" t="s">
        <v>31</v>
      </c>
      <c r="C369" s="37">
        <f>SUM(D369:R369)</f>
        <v>37</v>
      </c>
      <c r="D369" s="31">
        <v>6</v>
      </c>
      <c r="E369" s="31">
        <v>4</v>
      </c>
      <c r="F369" s="31">
        <v>16</v>
      </c>
      <c r="G369" s="31">
        <v>2</v>
      </c>
      <c r="H369" s="31">
        <v>4</v>
      </c>
      <c r="I369" s="31">
        <v>5</v>
      </c>
      <c r="J369" s="31"/>
      <c r="K369" s="31"/>
      <c r="L369" s="31"/>
      <c r="M369" s="31"/>
      <c r="N369" s="31"/>
      <c r="O369" s="31"/>
      <c r="P369" s="31"/>
      <c r="Q369" s="31"/>
      <c r="R369" s="31"/>
      <c r="S369" s="29">
        <f>YEAR(Tabla2[[#This Row],[Fecha]])</f>
        <v>2024</v>
      </c>
    </row>
    <row r="370" hidden="1" spans="1:19">
      <c r="A370" s="27">
        <v>45425</v>
      </c>
      <c r="B370" s="27" t="s">
        <v>41</v>
      </c>
      <c r="C370" s="37">
        <f>SUM(D370:R370)</f>
        <v>20</v>
      </c>
      <c r="D370" s="31">
        <v>7</v>
      </c>
      <c r="E370" s="31">
        <v>8</v>
      </c>
      <c r="F370" s="31">
        <v>5</v>
      </c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29">
        <f>YEAR(Tabla2[[#This Row],[Fecha]])</f>
        <v>2024</v>
      </c>
    </row>
    <row r="371" hidden="1" spans="1:19">
      <c r="A371" s="27">
        <v>45426</v>
      </c>
      <c r="B371" s="27" t="s">
        <v>31</v>
      </c>
      <c r="C371" s="37">
        <f>SUM(D371:R371)</f>
        <v>48</v>
      </c>
      <c r="D371" s="31">
        <v>14</v>
      </c>
      <c r="E371" s="31">
        <v>15</v>
      </c>
      <c r="F371" s="31">
        <v>19</v>
      </c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29">
        <f>YEAR(Tabla2[[#This Row],[Fecha]])</f>
        <v>2024</v>
      </c>
    </row>
    <row r="372" hidden="1" spans="1:19">
      <c r="A372" s="27">
        <v>45426</v>
      </c>
      <c r="B372" s="27" t="s">
        <v>41</v>
      </c>
      <c r="C372" s="37">
        <f>SUM(D372:R372)</f>
        <v>6</v>
      </c>
      <c r="D372" s="31">
        <v>6</v>
      </c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29">
        <f>YEAR(Tabla2[[#This Row],[Fecha]])</f>
        <v>2024</v>
      </c>
    </row>
    <row r="373" hidden="1" spans="1:19">
      <c r="A373" s="27">
        <v>45427</v>
      </c>
      <c r="B373" s="27" t="s">
        <v>31</v>
      </c>
      <c r="C373" s="37">
        <f>SUM(D373:R373)</f>
        <v>47</v>
      </c>
      <c r="D373" s="31">
        <v>8</v>
      </c>
      <c r="E373" s="31">
        <v>9</v>
      </c>
      <c r="F373" s="31">
        <v>4</v>
      </c>
      <c r="G373" s="31">
        <v>26</v>
      </c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29">
        <f>YEAR(Tabla2[[#This Row],[Fecha]])</f>
        <v>2024</v>
      </c>
    </row>
    <row r="374" hidden="1" spans="1:19">
      <c r="A374" s="27">
        <v>45427</v>
      </c>
      <c r="B374" s="27" t="s">
        <v>41</v>
      </c>
      <c r="C374" s="37">
        <f>SUM(D374:R374)</f>
        <v>10</v>
      </c>
      <c r="D374" s="31">
        <v>10</v>
      </c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29">
        <f>YEAR(Tabla2[[#This Row],[Fecha]])</f>
        <v>2024</v>
      </c>
    </row>
    <row r="375" hidden="1" spans="1:19">
      <c r="A375" s="27">
        <v>45428</v>
      </c>
      <c r="B375" s="27" t="s">
        <v>31</v>
      </c>
      <c r="C375" s="37">
        <f>SUM(D375:R375)</f>
        <v>31</v>
      </c>
      <c r="D375" s="31">
        <v>31</v>
      </c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29">
        <f>YEAR(Tabla2[[#This Row],[Fecha]])</f>
        <v>2024</v>
      </c>
    </row>
    <row r="376" hidden="1" spans="1:19">
      <c r="A376" s="27">
        <v>45429</v>
      </c>
      <c r="B376" s="27" t="s">
        <v>31</v>
      </c>
      <c r="C376" s="37">
        <f>SUM(D376:R376)</f>
        <v>37</v>
      </c>
      <c r="D376" s="31">
        <v>15</v>
      </c>
      <c r="E376" s="31">
        <v>12</v>
      </c>
      <c r="F376" s="31">
        <v>10</v>
      </c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29">
        <f>YEAR(Tabla2[[#This Row],[Fecha]])</f>
        <v>2024</v>
      </c>
    </row>
    <row r="377" hidden="1" spans="1:19">
      <c r="A377" s="27">
        <v>45429</v>
      </c>
      <c r="B377" s="27" t="s">
        <v>41</v>
      </c>
      <c r="C377" s="37">
        <f>SUM(D377:R377)</f>
        <v>11</v>
      </c>
      <c r="D377" s="31">
        <v>5</v>
      </c>
      <c r="E377" s="31">
        <v>6</v>
      </c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29">
        <f>YEAR(Tabla2[[#This Row],[Fecha]])</f>
        <v>2024</v>
      </c>
    </row>
    <row r="378" hidden="1" spans="1:19">
      <c r="A378" s="27">
        <v>45430</v>
      </c>
      <c r="B378" s="27" t="s">
        <v>31</v>
      </c>
      <c r="C378" s="37">
        <f>SUM(D378:R378)</f>
        <v>37</v>
      </c>
      <c r="D378" s="31">
        <v>14</v>
      </c>
      <c r="E378" s="31">
        <v>12</v>
      </c>
      <c r="F378" s="31">
        <v>11</v>
      </c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29">
        <f>YEAR(Tabla2[[#This Row],[Fecha]])</f>
        <v>2024</v>
      </c>
    </row>
    <row r="379" hidden="1" spans="1:19">
      <c r="A379" s="27">
        <v>45432</v>
      </c>
      <c r="B379" s="27" t="s">
        <v>31</v>
      </c>
      <c r="C379" s="37">
        <f>SUM(D379:R379)</f>
        <v>46</v>
      </c>
      <c r="D379" s="31">
        <v>46</v>
      </c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29">
        <f>YEAR(Tabla2[[#This Row],[Fecha]])</f>
        <v>2024</v>
      </c>
    </row>
    <row r="380" hidden="1" spans="1:19">
      <c r="A380" s="27">
        <v>45433</v>
      </c>
      <c r="B380" s="27" t="s">
        <v>31</v>
      </c>
      <c r="C380" s="37">
        <f>SUM(D380:R380)</f>
        <v>41</v>
      </c>
      <c r="D380" s="31">
        <v>41</v>
      </c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29">
        <f>YEAR(Tabla2[[#This Row],[Fecha]])</f>
        <v>2024</v>
      </c>
    </row>
    <row r="381" hidden="1" spans="1:24">
      <c r="A381" s="27">
        <v>45434</v>
      </c>
      <c r="B381" s="27" t="s">
        <v>31</v>
      </c>
      <c r="C381" s="37">
        <f>SUM(D381:R381)</f>
        <v>42</v>
      </c>
      <c r="D381" s="31">
        <v>42</v>
      </c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29">
        <f>YEAR(Tabla2[[#This Row],[Fecha]])</f>
        <v>2024</v>
      </c>
      <c r="W381" s="31"/>
      <c r="X381" s="31"/>
    </row>
    <row r="382" hidden="1" spans="1:19">
      <c r="A382" s="27">
        <v>45435</v>
      </c>
      <c r="B382" s="27" t="s">
        <v>31</v>
      </c>
      <c r="C382" s="37">
        <f>SUM(D382:R382)</f>
        <v>38</v>
      </c>
      <c r="D382" s="31">
        <v>38</v>
      </c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29">
        <f>YEAR(Tabla2[[#This Row],[Fecha]])</f>
        <v>2024</v>
      </c>
    </row>
    <row r="383" hidden="1" spans="1:19">
      <c r="A383" s="27">
        <v>45436</v>
      </c>
      <c r="B383" s="27" t="s">
        <v>31</v>
      </c>
      <c r="C383" s="37">
        <f>SUM(D383:R383)</f>
        <v>37</v>
      </c>
      <c r="D383" s="31">
        <v>11</v>
      </c>
      <c r="E383" s="31">
        <v>7</v>
      </c>
      <c r="F383" s="31">
        <v>8</v>
      </c>
      <c r="G383" s="31">
        <v>4</v>
      </c>
      <c r="H383" s="31">
        <v>7</v>
      </c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29">
        <f>YEAR(Tabla2[[#This Row],[Fecha]])</f>
        <v>2024</v>
      </c>
    </row>
    <row r="384" hidden="1" spans="1:19">
      <c r="A384" s="27">
        <v>45439</v>
      </c>
      <c r="B384" s="27" t="s">
        <v>31</v>
      </c>
      <c r="C384" s="37">
        <f>SUM(D384:R384)</f>
        <v>35</v>
      </c>
      <c r="D384" s="31">
        <v>7</v>
      </c>
      <c r="E384" s="31">
        <v>10</v>
      </c>
      <c r="F384" s="31">
        <v>8</v>
      </c>
      <c r="G384" s="31">
        <v>6</v>
      </c>
      <c r="H384" s="31">
        <v>4</v>
      </c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29">
        <f>YEAR(Tabla2[[#This Row],[Fecha]])</f>
        <v>2024</v>
      </c>
    </row>
    <row r="385" hidden="1" spans="1:19">
      <c r="A385" s="27">
        <v>45440</v>
      </c>
      <c r="B385" s="27" t="s">
        <v>31</v>
      </c>
      <c r="C385" s="37">
        <f>SUM(D385:R385)</f>
        <v>39</v>
      </c>
      <c r="D385" s="31">
        <v>39</v>
      </c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29">
        <f>YEAR(Tabla2[[#This Row],[Fecha]])</f>
        <v>2024</v>
      </c>
    </row>
    <row r="386" hidden="1" spans="1:19">
      <c r="A386" s="27">
        <v>45441</v>
      </c>
      <c r="B386" s="27" t="s">
        <v>31</v>
      </c>
      <c r="C386" s="37">
        <f>SUM(D386:R386)</f>
        <v>33</v>
      </c>
      <c r="D386" s="31">
        <v>33</v>
      </c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29">
        <f>YEAR(Tabla2[[#This Row],[Fecha]])</f>
        <v>2024</v>
      </c>
    </row>
    <row r="387" hidden="1" spans="1:19">
      <c r="A387" s="27">
        <v>45442</v>
      </c>
      <c r="B387" s="27" t="s">
        <v>31</v>
      </c>
      <c r="C387" s="37">
        <f>SUM(D387:R387)</f>
        <v>47</v>
      </c>
      <c r="D387" s="31">
        <v>47</v>
      </c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29">
        <f>YEAR(Tabla2[[#This Row],[Fecha]])</f>
        <v>2024</v>
      </c>
    </row>
    <row r="388" hidden="1" spans="1:19">
      <c r="A388" s="27">
        <v>45442</v>
      </c>
      <c r="B388" s="27" t="s">
        <v>33</v>
      </c>
      <c r="C388" s="37">
        <f>SUM(D388:R388)</f>
        <v>52</v>
      </c>
      <c r="D388" s="31">
        <v>52</v>
      </c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29">
        <f>YEAR(Tabla2[[#This Row],[Fecha]])</f>
        <v>2024</v>
      </c>
    </row>
    <row r="389" hidden="1" spans="1:19">
      <c r="A389" s="27">
        <v>45443</v>
      </c>
      <c r="B389" s="27" t="s">
        <v>31</v>
      </c>
      <c r="C389" s="37">
        <f>SUM(D389:R389)</f>
        <v>41</v>
      </c>
      <c r="D389" s="31">
        <v>41</v>
      </c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29">
        <f>YEAR(Tabla2[[#This Row],[Fecha]])</f>
        <v>2024</v>
      </c>
    </row>
    <row r="390" hidden="1" spans="1:19">
      <c r="A390" s="27">
        <v>45443</v>
      </c>
      <c r="B390" s="27" t="s">
        <v>33</v>
      </c>
      <c r="C390" s="37">
        <f>SUM(D390:R390)</f>
        <v>35</v>
      </c>
      <c r="D390" s="31">
        <v>35</v>
      </c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29">
        <f>YEAR(Tabla2[[#This Row],[Fecha]])</f>
        <v>2024</v>
      </c>
    </row>
    <row r="391" hidden="1" spans="1:19">
      <c r="A391" s="27">
        <v>45446</v>
      </c>
      <c r="B391" s="27" t="s">
        <v>31</v>
      </c>
      <c r="C391" s="37">
        <f>SUM(D391:R391)</f>
        <v>34</v>
      </c>
      <c r="D391" s="31">
        <v>34</v>
      </c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29">
        <f>YEAR(Tabla2[[#This Row],[Fecha]])</f>
        <v>2024</v>
      </c>
    </row>
    <row r="392" hidden="1" spans="1:19">
      <c r="A392" s="27">
        <v>45447</v>
      </c>
      <c r="B392" s="27" t="s">
        <v>31</v>
      </c>
      <c r="C392" s="37">
        <f>SUM(D392:R392)</f>
        <v>39</v>
      </c>
      <c r="D392" s="31">
        <v>39</v>
      </c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29">
        <f>YEAR(Tabla2[[#This Row],[Fecha]])</f>
        <v>2024</v>
      </c>
    </row>
    <row r="393" hidden="1" spans="1:19">
      <c r="A393" s="27">
        <v>45452</v>
      </c>
      <c r="B393" s="27" t="s">
        <v>33</v>
      </c>
      <c r="C393" s="37">
        <f>SUM(D393:R393)</f>
        <v>56</v>
      </c>
      <c r="D393" s="31">
        <v>56</v>
      </c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29">
        <f>YEAR(Tabla2[[#This Row],[Fecha]])</f>
        <v>2024</v>
      </c>
    </row>
    <row r="394" hidden="1" spans="1:19">
      <c r="A394" s="27">
        <v>45453</v>
      </c>
      <c r="B394" s="27" t="s">
        <v>33</v>
      </c>
      <c r="C394" s="37">
        <f>SUM(D394:R394)</f>
        <v>60</v>
      </c>
      <c r="D394" s="31">
        <v>28</v>
      </c>
      <c r="E394" s="31">
        <v>32</v>
      </c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29">
        <f>YEAR(Tabla2[[#This Row],[Fecha]])</f>
        <v>2024</v>
      </c>
    </row>
    <row r="395" hidden="1" spans="1:19">
      <c r="A395" s="27">
        <v>45454</v>
      </c>
      <c r="B395" s="27" t="s">
        <v>31</v>
      </c>
      <c r="C395" s="37">
        <f>SUM(D395:R395)</f>
        <v>71</v>
      </c>
      <c r="D395" s="31">
        <v>2</v>
      </c>
      <c r="E395" s="31">
        <v>7</v>
      </c>
      <c r="F395" s="31">
        <v>5</v>
      </c>
      <c r="G395" s="31">
        <v>7</v>
      </c>
      <c r="H395" s="31">
        <v>11</v>
      </c>
      <c r="I395" s="31">
        <v>11</v>
      </c>
      <c r="J395" s="31">
        <v>3</v>
      </c>
      <c r="K395" s="31">
        <v>11</v>
      </c>
      <c r="L395" s="31">
        <v>14</v>
      </c>
      <c r="M395" s="31"/>
      <c r="N395" s="31"/>
      <c r="O395" s="31"/>
      <c r="P395" s="31"/>
      <c r="Q395" s="31"/>
      <c r="R395" s="31"/>
      <c r="S395" s="29">
        <f>YEAR(Tabla2[[#This Row],[Fecha]])</f>
        <v>2024</v>
      </c>
    </row>
    <row r="396" hidden="1" spans="1:19">
      <c r="A396" s="27">
        <v>45455</v>
      </c>
      <c r="B396" s="27" t="s">
        <v>31</v>
      </c>
      <c r="C396" s="37">
        <f>SUM(D396:R396)</f>
        <v>93</v>
      </c>
      <c r="D396" s="31">
        <v>17</v>
      </c>
      <c r="E396" s="31">
        <v>2</v>
      </c>
      <c r="F396" s="31">
        <v>13</v>
      </c>
      <c r="G396" s="31">
        <v>6</v>
      </c>
      <c r="H396" s="31">
        <v>7</v>
      </c>
      <c r="I396" s="31">
        <v>14</v>
      </c>
      <c r="J396" s="31">
        <v>11</v>
      </c>
      <c r="K396" s="31">
        <v>5</v>
      </c>
      <c r="L396" s="31">
        <v>12</v>
      </c>
      <c r="M396" s="31">
        <v>6</v>
      </c>
      <c r="N396" s="31"/>
      <c r="O396" s="31"/>
      <c r="P396" s="31"/>
      <c r="Q396" s="31"/>
      <c r="R396" s="31"/>
      <c r="S396" s="29">
        <f>YEAR(Tabla2[[#This Row],[Fecha]])</f>
        <v>2024</v>
      </c>
    </row>
    <row r="397" hidden="1" spans="1:19">
      <c r="A397" s="27">
        <v>45456</v>
      </c>
      <c r="B397" s="27" t="s">
        <v>31</v>
      </c>
      <c r="C397" s="37">
        <f>SUM(D397:R397)</f>
        <v>60</v>
      </c>
      <c r="D397" s="31">
        <v>7</v>
      </c>
      <c r="E397" s="31">
        <v>12</v>
      </c>
      <c r="F397" s="31">
        <v>14</v>
      </c>
      <c r="G397" s="31">
        <v>9</v>
      </c>
      <c r="H397" s="31">
        <v>18</v>
      </c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29">
        <f>YEAR(Tabla2[[#This Row],[Fecha]])</f>
        <v>2024</v>
      </c>
    </row>
    <row r="398" hidden="1" spans="1:19">
      <c r="A398" s="27">
        <v>45457</v>
      </c>
      <c r="B398" s="27" t="s">
        <v>31</v>
      </c>
      <c r="C398" s="37">
        <f>SUM(D398:R398)</f>
        <v>62</v>
      </c>
      <c r="D398" s="31">
        <v>8</v>
      </c>
      <c r="E398" s="31">
        <v>4</v>
      </c>
      <c r="F398" s="31">
        <v>10</v>
      </c>
      <c r="G398" s="31">
        <v>6</v>
      </c>
      <c r="H398" s="31">
        <v>13</v>
      </c>
      <c r="I398" s="31">
        <v>4</v>
      </c>
      <c r="J398" s="31">
        <v>17</v>
      </c>
      <c r="K398" s="31"/>
      <c r="L398" s="31"/>
      <c r="M398" s="31"/>
      <c r="N398" s="31"/>
      <c r="O398" s="31"/>
      <c r="P398" s="31"/>
      <c r="Q398" s="31"/>
      <c r="R398" s="31"/>
      <c r="S398" s="29">
        <f>YEAR(Tabla2[[#This Row],[Fecha]])</f>
        <v>2024</v>
      </c>
    </row>
    <row r="399" hidden="1" spans="1:19">
      <c r="A399" s="27">
        <v>45460</v>
      </c>
      <c r="B399" s="27" t="s">
        <v>31</v>
      </c>
      <c r="C399" s="37">
        <f>SUM(D399:R399)</f>
        <v>53</v>
      </c>
      <c r="D399" s="31">
        <v>53</v>
      </c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29">
        <f>YEAR(Tabla2[[#This Row],[Fecha]])</f>
        <v>2024</v>
      </c>
    </row>
    <row r="400" hidden="1" spans="1:19">
      <c r="A400" s="27">
        <v>45461</v>
      </c>
      <c r="B400" s="27" t="s">
        <v>31</v>
      </c>
      <c r="C400" s="37">
        <f>SUM(D400:R400)</f>
        <v>81</v>
      </c>
      <c r="D400" s="31">
        <v>81</v>
      </c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29">
        <f>YEAR(Tabla2[[#This Row],[Fecha]])</f>
        <v>2024</v>
      </c>
    </row>
    <row r="401" hidden="1" spans="1:19">
      <c r="A401" s="27">
        <v>45462</v>
      </c>
      <c r="B401" s="27" t="s">
        <v>31</v>
      </c>
      <c r="C401" s="37">
        <f>SUM(D401:R401)</f>
        <v>74</v>
      </c>
      <c r="D401" s="31">
        <v>74</v>
      </c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29">
        <f>YEAR(Tabla2[[#This Row],[Fecha]])</f>
        <v>2024</v>
      </c>
    </row>
    <row r="402" hidden="1" spans="1:19">
      <c r="A402" s="27">
        <v>45463</v>
      </c>
      <c r="B402" s="27" t="s">
        <v>31</v>
      </c>
      <c r="C402" s="37">
        <f>SUM(D402:R402)</f>
        <v>59</v>
      </c>
      <c r="D402" s="31">
        <v>59</v>
      </c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29">
        <f>YEAR(Tabla2[[#This Row],[Fecha]])</f>
        <v>2024</v>
      </c>
    </row>
    <row r="403" hidden="1" spans="1:19">
      <c r="A403" s="27">
        <v>45464</v>
      </c>
      <c r="B403" s="27" t="s">
        <v>49</v>
      </c>
      <c r="C403" s="37">
        <f>SUM(D403:R403)</f>
        <v>58</v>
      </c>
      <c r="D403" s="31">
        <v>58</v>
      </c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29">
        <f>YEAR(Tabla2[[#This Row],[Fecha]])</f>
        <v>2024</v>
      </c>
    </row>
    <row r="404" hidden="1" spans="1:19">
      <c r="A404" s="27">
        <v>45467</v>
      </c>
      <c r="B404" s="27" t="s">
        <v>33</v>
      </c>
      <c r="C404" s="37">
        <f>SUM(D404:R404)</f>
        <v>31</v>
      </c>
      <c r="D404" s="31">
        <v>31</v>
      </c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29">
        <f>YEAR(Tabla2[[#This Row],[Fecha]])</f>
        <v>2024</v>
      </c>
    </row>
    <row r="405" hidden="1" spans="1:19">
      <c r="A405" s="27">
        <v>45467</v>
      </c>
      <c r="B405" s="27" t="s">
        <v>49</v>
      </c>
      <c r="C405" s="37">
        <f>SUM(D405:R405)</f>
        <v>13</v>
      </c>
      <c r="D405" s="31">
        <v>13</v>
      </c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29">
        <f>YEAR(Tabla2[[#This Row],[Fecha]])</f>
        <v>2024</v>
      </c>
    </row>
    <row r="406" hidden="1" spans="1:19">
      <c r="A406" s="27">
        <v>45468</v>
      </c>
      <c r="B406" s="27" t="s">
        <v>31</v>
      </c>
      <c r="C406" s="37">
        <f>SUM(D406:R406)</f>
        <v>37</v>
      </c>
      <c r="D406" s="31">
        <v>37</v>
      </c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29">
        <f>YEAR(Tabla2[[#This Row],[Fecha]])</f>
        <v>2024</v>
      </c>
    </row>
    <row r="407" hidden="1" spans="1:19">
      <c r="A407" s="27">
        <v>45468</v>
      </c>
      <c r="B407" s="27" t="s">
        <v>49</v>
      </c>
      <c r="C407" s="37">
        <f>SUM(D407:R407)</f>
        <v>1</v>
      </c>
      <c r="D407" s="31">
        <v>1</v>
      </c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29">
        <f>YEAR(Tabla2[[#This Row],[Fecha]])</f>
        <v>2024</v>
      </c>
    </row>
    <row r="408" hidden="1" spans="1:19">
      <c r="A408" s="27">
        <v>45469</v>
      </c>
      <c r="B408" s="27" t="s">
        <v>31</v>
      </c>
      <c r="C408" s="37">
        <f>SUM(D408:R408)</f>
        <v>24</v>
      </c>
      <c r="D408" s="31">
        <v>24</v>
      </c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29">
        <f>YEAR(Tabla2[[#This Row],[Fecha]])</f>
        <v>2024</v>
      </c>
    </row>
    <row r="409" hidden="1" spans="1:19">
      <c r="A409" s="27">
        <v>45471</v>
      </c>
      <c r="B409" s="27" t="s">
        <v>31</v>
      </c>
      <c r="C409" s="37">
        <f>SUM(D409:R409)</f>
        <v>60</v>
      </c>
      <c r="D409" s="31">
        <v>60</v>
      </c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29">
        <f>YEAR(Tabla2[[#This Row],[Fecha]])</f>
        <v>2024</v>
      </c>
    </row>
    <row r="410" hidden="1" spans="1:19">
      <c r="A410" s="27">
        <v>45472</v>
      </c>
      <c r="B410" s="27" t="s">
        <v>31</v>
      </c>
      <c r="C410" s="37">
        <f>SUM(D410:R410)</f>
        <v>114</v>
      </c>
      <c r="D410" s="31">
        <f>60+54</f>
        <v>114</v>
      </c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29">
        <f>YEAR(Tabla2[[#This Row],[Fecha]])</f>
        <v>2024</v>
      </c>
    </row>
    <row r="411" hidden="1" spans="1:19">
      <c r="A411" s="27">
        <v>45472</v>
      </c>
      <c r="B411" s="27" t="s">
        <v>33</v>
      </c>
      <c r="C411" s="37">
        <f>SUM(D411:R411)</f>
        <v>60</v>
      </c>
      <c r="D411" s="31">
        <v>60</v>
      </c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29">
        <f>YEAR(Tabla2[[#This Row],[Fecha]])</f>
        <v>2024</v>
      </c>
    </row>
    <row r="412" hidden="1" spans="1:19">
      <c r="A412" s="27">
        <v>45473</v>
      </c>
      <c r="B412" s="27" t="s">
        <v>33</v>
      </c>
      <c r="C412" s="37">
        <f>SUM(D412:R412)</f>
        <v>51</v>
      </c>
      <c r="D412" s="31">
        <v>51</v>
      </c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29">
        <f>YEAR(Tabla2[[#This Row],[Fecha]])</f>
        <v>2024</v>
      </c>
    </row>
    <row r="413" hidden="1" spans="1:19">
      <c r="A413" s="27">
        <v>45475</v>
      </c>
      <c r="B413" s="27" t="s">
        <v>33</v>
      </c>
      <c r="C413" s="37">
        <f>SUM(D413:R413)</f>
        <v>51</v>
      </c>
      <c r="D413" s="31">
        <v>51</v>
      </c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29">
        <f>YEAR(Tabla2[[#This Row],[Fecha]])</f>
        <v>2024</v>
      </c>
    </row>
    <row r="414" hidden="1" spans="1:19">
      <c r="A414" s="27">
        <v>45476</v>
      </c>
      <c r="B414" s="27" t="s">
        <v>33</v>
      </c>
      <c r="C414" s="37">
        <f>SUM(D414:R414)</f>
        <v>36</v>
      </c>
      <c r="D414" s="31">
        <v>36</v>
      </c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29">
        <f>YEAR(Tabla2[[#This Row],[Fecha]])</f>
        <v>2024</v>
      </c>
    </row>
    <row r="415" hidden="1" spans="1:19">
      <c r="A415" s="27">
        <v>45477</v>
      </c>
      <c r="B415" s="27" t="s">
        <v>33</v>
      </c>
      <c r="C415" s="37">
        <f>SUM(D415:R415)</f>
        <v>25</v>
      </c>
      <c r="D415" s="31">
        <v>25</v>
      </c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29">
        <f>YEAR(Tabla2[[#This Row],[Fecha]])</f>
        <v>2024</v>
      </c>
    </row>
    <row r="416" hidden="1" spans="1:19">
      <c r="A416" s="27">
        <v>45477</v>
      </c>
      <c r="B416" s="27" t="s">
        <v>49</v>
      </c>
      <c r="C416" s="37">
        <f>SUM(D416:R416)</f>
        <v>5</v>
      </c>
      <c r="D416" s="31">
        <v>5</v>
      </c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29">
        <f>YEAR(Tabla2[[#This Row],[Fecha]])</f>
        <v>2024</v>
      </c>
    </row>
    <row r="417" hidden="1" spans="1:19">
      <c r="A417" s="27">
        <v>45478</v>
      </c>
      <c r="B417" s="27" t="s">
        <v>33</v>
      </c>
      <c r="C417" s="37">
        <f>SUM(D417:R417)</f>
        <v>68</v>
      </c>
      <c r="D417" s="31">
        <v>68</v>
      </c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29">
        <f>YEAR(Tabla2[[#This Row],[Fecha]])</f>
        <v>2024</v>
      </c>
    </row>
    <row r="418" hidden="1" spans="1:19">
      <c r="A418" s="27">
        <v>45478</v>
      </c>
      <c r="B418" s="27" t="s">
        <v>49</v>
      </c>
      <c r="C418" s="37">
        <f>SUM(D418:R418)</f>
        <v>10</v>
      </c>
      <c r="D418" s="31">
        <v>10</v>
      </c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29">
        <f>YEAR(Tabla2[[#This Row],[Fecha]])</f>
        <v>2024</v>
      </c>
    </row>
    <row r="419" hidden="1" spans="1:19">
      <c r="A419" s="27">
        <v>45479</v>
      </c>
      <c r="B419" s="27" t="s">
        <v>49</v>
      </c>
      <c r="C419" s="37">
        <f>SUM(D419:R419)</f>
        <v>6</v>
      </c>
      <c r="D419" s="31">
        <v>6</v>
      </c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29">
        <f>YEAR(Tabla2[[#This Row],[Fecha]])</f>
        <v>2024</v>
      </c>
    </row>
    <row r="420" hidden="1" spans="1:19">
      <c r="A420" s="27">
        <v>45479</v>
      </c>
      <c r="B420" s="27" t="s">
        <v>41</v>
      </c>
      <c r="C420" s="37">
        <f>SUM(D420:R420)</f>
        <v>5</v>
      </c>
      <c r="D420" s="31">
        <v>5</v>
      </c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29">
        <f>YEAR(Tabla2[[#This Row],[Fecha]])</f>
        <v>2024</v>
      </c>
    </row>
    <row r="421" hidden="1" spans="1:19">
      <c r="A421" s="27">
        <v>45479</v>
      </c>
      <c r="B421" s="27" t="s">
        <v>33</v>
      </c>
      <c r="C421" s="37">
        <f>SUM(D421:R421)</f>
        <v>47</v>
      </c>
      <c r="D421" s="31">
        <v>47</v>
      </c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29">
        <f>YEAR(Tabla2[[#This Row],[Fecha]])</f>
        <v>2024</v>
      </c>
    </row>
    <row r="422" hidden="1" spans="1:19">
      <c r="A422" s="27">
        <v>45479</v>
      </c>
      <c r="B422" s="27" t="s">
        <v>31</v>
      </c>
      <c r="C422" s="37">
        <f>SUM(D422:R422)</f>
        <v>1</v>
      </c>
      <c r="D422" s="31">
        <v>1</v>
      </c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29">
        <f>YEAR(Tabla2[[#This Row],[Fecha]])</f>
        <v>2024</v>
      </c>
    </row>
    <row r="423" hidden="1" spans="1:19">
      <c r="A423" s="27">
        <v>45480</v>
      </c>
      <c r="B423" s="27" t="s">
        <v>31</v>
      </c>
      <c r="C423" s="37">
        <f>SUM(D423:R423)</f>
        <v>52</v>
      </c>
      <c r="D423" s="31">
        <v>28</v>
      </c>
      <c r="E423" s="31">
        <v>6</v>
      </c>
      <c r="F423" s="31">
        <v>18</v>
      </c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29">
        <f>YEAR(Tabla2[[#This Row],[Fecha]])</f>
        <v>2024</v>
      </c>
    </row>
    <row r="424" hidden="1" spans="1:19">
      <c r="A424" s="27">
        <v>45481</v>
      </c>
      <c r="B424" s="27" t="s">
        <v>33</v>
      </c>
      <c r="C424" s="37">
        <f>SUM(D424:R424)</f>
        <v>55</v>
      </c>
      <c r="D424" s="31">
        <v>55</v>
      </c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29">
        <f>YEAR(Tabla2[[#This Row],[Fecha]])</f>
        <v>2024</v>
      </c>
    </row>
    <row r="425" hidden="1" spans="1:19">
      <c r="A425" s="27">
        <v>45481</v>
      </c>
      <c r="B425" s="27" t="s">
        <v>49</v>
      </c>
      <c r="C425" s="37">
        <f>SUM(D425:R425)</f>
        <v>6</v>
      </c>
      <c r="D425" s="31">
        <v>6</v>
      </c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29">
        <f>YEAR(Tabla2[[#This Row],[Fecha]])</f>
        <v>2024</v>
      </c>
    </row>
    <row r="426" hidden="1" spans="1:19">
      <c r="A426" s="27">
        <v>45481</v>
      </c>
      <c r="B426" s="27" t="s">
        <v>41</v>
      </c>
      <c r="C426" s="37">
        <f>SUM(D426:R426)</f>
        <v>9</v>
      </c>
      <c r="D426" s="31">
        <v>9</v>
      </c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29">
        <f>YEAR(Tabla2[[#This Row],[Fecha]])</f>
        <v>2024</v>
      </c>
    </row>
    <row r="427" hidden="1" spans="1:19">
      <c r="A427" s="27">
        <v>45482</v>
      </c>
      <c r="B427" s="27" t="s">
        <v>33</v>
      </c>
      <c r="C427" s="37">
        <f>SUM(D427:R427)</f>
        <v>48</v>
      </c>
      <c r="D427" s="31">
        <v>48</v>
      </c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29">
        <f>YEAR(Tabla2[[#This Row],[Fecha]])</f>
        <v>2024</v>
      </c>
    </row>
    <row r="428" hidden="1" spans="1:19">
      <c r="A428" s="27">
        <v>45482</v>
      </c>
      <c r="B428" s="27" t="s">
        <v>31</v>
      </c>
      <c r="C428" s="37">
        <f>SUM(D428:R428)</f>
        <v>24</v>
      </c>
      <c r="D428" s="31">
        <v>13</v>
      </c>
      <c r="E428" s="31">
        <v>11</v>
      </c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29">
        <f>YEAR(Tabla2[[#This Row],[Fecha]])</f>
        <v>2024</v>
      </c>
    </row>
    <row r="429" hidden="1" spans="1:19">
      <c r="A429" s="27">
        <v>45482</v>
      </c>
      <c r="B429" s="27" t="s">
        <v>49</v>
      </c>
      <c r="C429" s="37">
        <f>SUM(D429:R429)</f>
        <v>17</v>
      </c>
      <c r="D429" s="31">
        <v>17</v>
      </c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29">
        <f>YEAR(Tabla2[[#This Row],[Fecha]])</f>
        <v>2024</v>
      </c>
    </row>
    <row r="430" hidden="1" spans="1:19">
      <c r="A430" s="27">
        <v>45482</v>
      </c>
      <c r="B430" s="27" t="s">
        <v>50</v>
      </c>
      <c r="C430" s="37">
        <f>SUM(D430:R430)</f>
        <v>153</v>
      </c>
      <c r="D430" s="31">
        <v>3</v>
      </c>
      <c r="E430" s="31">
        <v>22</v>
      </c>
      <c r="F430" s="31">
        <v>17</v>
      </c>
      <c r="G430" s="31">
        <v>8</v>
      </c>
      <c r="H430" s="31">
        <v>5</v>
      </c>
      <c r="I430" s="31">
        <v>13</v>
      </c>
      <c r="J430" s="31">
        <v>9</v>
      </c>
      <c r="K430" s="31">
        <v>23</v>
      </c>
      <c r="L430" s="31">
        <v>9</v>
      </c>
      <c r="M430" s="31">
        <v>14</v>
      </c>
      <c r="N430" s="31">
        <v>8</v>
      </c>
      <c r="O430" s="31">
        <v>7</v>
      </c>
      <c r="P430" s="31">
        <v>15</v>
      </c>
      <c r="Q430" s="31"/>
      <c r="R430" s="31"/>
      <c r="S430" s="29">
        <f>YEAR(Tabla2[[#This Row],[Fecha]])</f>
        <v>2024</v>
      </c>
    </row>
    <row r="431" hidden="1" spans="1:19">
      <c r="A431" s="27">
        <v>45483</v>
      </c>
      <c r="B431" s="27" t="s">
        <v>50</v>
      </c>
      <c r="C431" s="37">
        <f>SUM(D431:R431)</f>
        <v>159</v>
      </c>
      <c r="D431" s="31">
        <v>14</v>
      </c>
      <c r="E431" s="31">
        <v>9</v>
      </c>
      <c r="F431" s="31">
        <v>8</v>
      </c>
      <c r="G431" s="31">
        <v>12</v>
      </c>
      <c r="H431" s="31">
        <v>6</v>
      </c>
      <c r="I431" s="31">
        <v>12</v>
      </c>
      <c r="J431" s="31">
        <v>6</v>
      </c>
      <c r="K431" s="31">
        <v>9</v>
      </c>
      <c r="L431" s="31">
        <v>10</v>
      </c>
      <c r="M431" s="31">
        <v>12</v>
      </c>
      <c r="N431" s="31">
        <v>9</v>
      </c>
      <c r="O431" s="31">
        <v>10</v>
      </c>
      <c r="P431" s="31">
        <v>15</v>
      </c>
      <c r="Q431" s="31">
        <v>16</v>
      </c>
      <c r="R431" s="31">
        <v>11</v>
      </c>
      <c r="S431" s="29">
        <f>YEAR(Tabla2[[#This Row],[Fecha]])</f>
        <v>2024</v>
      </c>
    </row>
    <row r="432" hidden="1" spans="1:19">
      <c r="A432" s="27">
        <v>45483</v>
      </c>
      <c r="B432" s="27" t="s">
        <v>50</v>
      </c>
      <c r="C432" s="37">
        <f>SUM(D432:R432)</f>
        <v>12</v>
      </c>
      <c r="D432" s="31">
        <v>12</v>
      </c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29">
        <f>YEAR(Tabla2[[#This Row],[Fecha]])</f>
        <v>2024</v>
      </c>
    </row>
    <row r="433" hidden="1" spans="1:19">
      <c r="A433" s="27">
        <v>45484</v>
      </c>
      <c r="B433" s="27" t="s">
        <v>50</v>
      </c>
      <c r="C433" s="37">
        <f>SUM(D433:R433)</f>
        <v>100</v>
      </c>
      <c r="D433" s="31">
        <v>15</v>
      </c>
      <c r="E433" s="31">
        <v>14</v>
      </c>
      <c r="F433" s="31">
        <v>18</v>
      </c>
      <c r="G433" s="31">
        <v>15</v>
      </c>
      <c r="H433" s="31">
        <v>7</v>
      </c>
      <c r="I433" s="31">
        <v>4</v>
      </c>
      <c r="J433" s="31">
        <v>5</v>
      </c>
      <c r="K433" s="31">
        <v>10</v>
      </c>
      <c r="L433" s="31">
        <v>12</v>
      </c>
      <c r="M433" s="31"/>
      <c r="N433" s="31"/>
      <c r="O433" s="31"/>
      <c r="P433" s="31"/>
      <c r="Q433" s="31"/>
      <c r="R433" s="31"/>
      <c r="S433" s="29">
        <f>YEAR(Tabla2[[#This Row],[Fecha]])</f>
        <v>2024</v>
      </c>
    </row>
    <row r="434" hidden="1" spans="1:19">
      <c r="A434" s="27">
        <v>45484</v>
      </c>
      <c r="B434" s="27" t="s">
        <v>47</v>
      </c>
      <c r="C434" s="37">
        <f>SUM(D434:R434)</f>
        <v>10</v>
      </c>
      <c r="D434" s="31">
        <v>10</v>
      </c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29">
        <f>YEAR(Tabla2[[#This Row],[Fecha]])</f>
        <v>2024</v>
      </c>
    </row>
    <row r="435" hidden="1" spans="1:19">
      <c r="A435" s="27">
        <v>45485</v>
      </c>
      <c r="B435" s="27" t="s">
        <v>50</v>
      </c>
      <c r="C435" s="37">
        <f>SUM(D435:R435)</f>
        <v>77</v>
      </c>
      <c r="D435" s="31">
        <v>11</v>
      </c>
      <c r="E435" s="31">
        <v>16</v>
      </c>
      <c r="F435" s="31">
        <v>20</v>
      </c>
      <c r="G435" s="31">
        <v>17</v>
      </c>
      <c r="H435" s="31">
        <v>13</v>
      </c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29">
        <f>YEAR(Tabla2[[#This Row],[Fecha]])</f>
        <v>2024</v>
      </c>
    </row>
    <row r="436" hidden="1" spans="1:19">
      <c r="A436" s="27">
        <v>45487</v>
      </c>
      <c r="B436" s="27" t="s">
        <v>50</v>
      </c>
      <c r="C436" s="37">
        <f>SUM(D436:R436)</f>
        <v>102</v>
      </c>
      <c r="D436" s="31">
        <v>11</v>
      </c>
      <c r="E436" s="31">
        <v>21</v>
      </c>
      <c r="F436" s="31">
        <v>32</v>
      </c>
      <c r="G436" s="31">
        <v>19</v>
      </c>
      <c r="H436" s="31">
        <v>19</v>
      </c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29">
        <f>YEAR(Tabla2[[#This Row],[Fecha]])</f>
        <v>2024</v>
      </c>
    </row>
    <row r="437" hidden="1" spans="1:19">
      <c r="A437" s="27">
        <v>45488</v>
      </c>
      <c r="B437" s="27" t="s">
        <v>50</v>
      </c>
      <c r="C437" s="37">
        <f>SUM(D437:R437)</f>
        <v>52</v>
      </c>
      <c r="D437" s="31">
        <v>23</v>
      </c>
      <c r="E437" s="31">
        <v>3</v>
      </c>
      <c r="F437" s="31">
        <v>11</v>
      </c>
      <c r="G437" s="31">
        <v>15</v>
      </c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29">
        <f>YEAR(Tabla2[[#This Row],[Fecha]])</f>
        <v>2024</v>
      </c>
    </row>
    <row r="438" hidden="1" spans="1:19">
      <c r="A438" s="27">
        <v>45489</v>
      </c>
      <c r="B438" s="27" t="s">
        <v>33</v>
      </c>
      <c r="C438" s="37">
        <f>SUM(D438:R438)</f>
        <v>47</v>
      </c>
      <c r="D438" s="31">
        <v>47</v>
      </c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29">
        <f>YEAR(Tabla2[[#This Row],[Fecha]])</f>
        <v>2024</v>
      </c>
    </row>
    <row r="439" hidden="1" spans="1:19">
      <c r="A439" s="27">
        <v>45490</v>
      </c>
      <c r="B439" s="27" t="s">
        <v>33</v>
      </c>
      <c r="C439" s="37">
        <f>SUM(D439:R439)</f>
        <v>38</v>
      </c>
      <c r="D439" s="31">
        <v>38</v>
      </c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29">
        <f>YEAR(Tabla2[[#This Row],[Fecha]])</f>
        <v>2024</v>
      </c>
    </row>
    <row r="440" hidden="1" spans="1:19">
      <c r="A440" s="27">
        <v>45491</v>
      </c>
      <c r="B440" s="27" t="s">
        <v>33</v>
      </c>
      <c r="C440" s="37">
        <f>SUM(D440:R440)</f>
        <v>50</v>
      </c>
      <c r="D440" s="31">
        <v>50</v>
      </c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29">
        <f>YEAR(Tabla2[[#This Row],[Fecha]])</f>
        <v>2024</v>
      </c>
    </row>
    <row r="441" hidden="1" spans="1:19">
      <c r="A441" s="27">
        <v>45492</v>
      </c>
      <c r="B441" s="27" t="s">
        <v>33</v>
      </c>
      <c r="C441" s="37">
        <f>SUM(D441:R441)</f>
        <v>59</v>
      </c>
      <c r="D441" s="31">
        <v>59</v>
      </c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29">
        <f>YEAR(Tabla2[[#This Row],[Fecha]])</f>
        <v>2024</v>
      </c>
    </row>
    <row r="442" hidden="1" spans="1:19">
      <c r="A442" s="27">
        <v>45493</v>
      </c>
      <c r="B442" s="27" t="s">
        <v>33</v>
      </c>
      <c r="C442" s="37">
        <f>SUM(D442:R442)</f>
        <v>11</v>
      </c>
      <c r="D442" s="31">
        <v>11</v>
      </c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29">
        <f>YEAR(Tabla2[[#This Row],[Fecha]])</f>
        <v>2024</v>
      </c>
    </row>
    <row r="443" hidden="1" spans="1:19">
      <c r="A443" s="27">
        <v>45497</v>
      </c>
      <c r="B443" s="27" t="s">
        <v>31</v>
      </c>
      <c r="C443" s="37">
        <f>SUM(D443:R443)</f>
        <v>34</v>
      </c>
      <c r="D443" s="31">
        <v>11</v>
      </c>
      <c r="E443" s="31">
        <v>23</v>
      </c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29">
        <f>YEAR(Tabla2[[#This Row],[Fecha]])</f>
        <v>2024</v>
      </c>
    </row>
    <row r="444" hidden="1" spans="1:19">
      <c r="A444" s="27">
        <v>45498</v>
      </c>
      <c r="B444" s="27" t="s">
        <v>31</v>
      </c>
      <c r="C444" s="37">
        <f>SUM(D444:R444)</f>
        <v>53</v>
      </c>
      <c r="D444" s="31">
        <v>53</v>
      </c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29">
        <f>YEAR(Tabla2[[#This Row],[Fecha]])</f>
        <v>2024</v>
      </c>
    </row>
    <row r="445" hidden="1" spans="1:19">
      <c r="A445" s="27">
        <v>45499</v>
      </c>
      <c r="B445" s="27" t="s">
        <v>31</v>
      </c>
      <c r="C445" s="37">
        <f>SUM(D445:R445)</f>
        <v>44</v>
      </c>
      <c r="D445" s="31">
        <v>44</v>
      </c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29">
        <f>YEAR(Tabla2[[#This Row],[Fecha]])</f>
        <v>2024</v>
      </c>
    </row>
    <row r="446" hidden="1" spans="1:19">
      <c r="A446" s="27">
        <v>45500</v>
      </c>
      <c r="B446" s="27" t="s">
        <v>31</v>
      </c>
      <c r="C446" s="37">
        <f>SUM(D446:R446)</f>
        <v>43</v>
      </c>
      <c r="D446" s="31">
        <v>16</v>
      </c>
      <c r="E446" s="31">
        <v>27</v>
      </c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29">
        <f>YEAR(Tabla2[[#This Row],[Fecha]])</f>
        <v>2024</v>
      </c>
    </row>
    <row r="447" hidden="1" spans="1:19">
      <c r="A447" s="27">
        <v>45502</v>
      </c>
      <c r="B447" s="27" t="s">
        <v>31</v>
      </c>
      <c r="C447" s="37">
        <f>SUM(D447:R447)</f>
        <v>55</v>
      </c>
      <c r="D447" s="31">
        <v>12</v>
      </c>
      <c r="E447" s="31">
        <v>9</v>
      </c>
      <c r="F447" s="31">
        <v>34</v>
      </c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29">
        <f>YEAR(Tabla2[[#This Row],[Fecha]])</f>
        <v>2024</v>
      </c>
    </row>
    <row r="448" hidden="1" spans="1:19">
      <c r="A448" s="27">
        <v>45503</v>
      </c>
      <c r="B448" s="27" t="s">
        <v>31</v>
      </c>
      <c r="C448" s="37">
        <f>SUM(D448:R448)</f>
        <v>57</v>
      </c>
      <c r="D448" s="31">
        <v>23</v>
      </c>
      <c r="E448" s="31">
        <v>7</v>
      </c>
      <c r="F448" s="31">
        <v>13</v>
      </c>
      <c r="G448" s="31">
        <v>14</v>
      </c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29">
        <f>YEAR(Tabla2[[#This Row],[Fecha]])</f>
        <v>2024</v>
      </c>
    </row>
    <row r="449" hidden="1" spans="1:19">
      <c r="A449" s="27">
        <v>45504</v>
      </c>
      <c r="B449" s="27" t="s">
        <v>31</v>
      </c>
      <c r="C449" s="37">
        <f>SUM(D449:R449)</f>
        <v>60</v>
      </c>
      <c r="D449" s="31">
        <v>14</v>
      </c>
      <c r="E449" s="31">
        <v>46</v>
      </c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29">
        <f>YEAR(Tabla2[[#This Row],[Fecha]])</f>
        <v>2024</v>
      </c>
    </row>
    <row r="450" hidden="1" spans="1:19">
      <c r="A450" s="27">
        <v>45505</v>
      </c>
      <c r="B450" s="27" t="s">
        <v>31</v>
      </c>
      <c r="C450" s="37">
        <f>SUM(D450:R450)</f>
        <v>44</v>
      </c>
      <c r="D450" s="31">
        <v>9</v>
      </c>
      <c r="E450" s="31">
        <v>11</v>
      </c>
      <c r="F450" s="31">
        <v>10</v>
      </c>
      <c r="G450" s="31">
        <v>14</v>
      </c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29">
        <f>YEAR(Tabla2[[#This Row],[Fecha]])</f>
        <v>2024</v>
      </c>
    </row>
    <row r="451" hidden="1" spans="1:19">
      <c r="A451" s="27">
        <v>45506</v>
      </c>
      <c r="B451" s="27" t="s">
        <v>31</v>
      </c>
      <c r="C451" s="37">
        <f>SUM(D451:R451)</f>
        <v>49</v>
      </c>
      <c r="D451" s="31">
        <v>12</v>
      </c>
      <c r="E451" s="31">
        <v>26</v>
      </c>
      <c r="F451" s="31">
        <v>11</v>
      </c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29">
        <f>YEAR(Tabla2[[#This Row],[Fecha]])</f>
        <v>2024</v>
      </c>
    </row>
    <row r="452" hidden="1" spans="1:19">
      <c r="A452" s="27">
        <v>45507</v>
      </c>
      <c r="B452" s="27" t="s">
        <v>31</v>
      </c>
      <c r="C452" s="37">
        <f>SUM(D452:R452)</f>
        <v>34</v>
      </c>
      <c r="D452" s="31">
        <v>16</v>
      </c>
      <c r="E452" s="31">
        <v>18</v>
      </c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29">
        <f>YEAR(Tabla2[[#This Row],[Fecha]])</f>
        <v>2024</v>
      </c>
    </row>
    <row r="453" hidden="1" spans="1:19">
      <c r="A453" s="27">
        <v>45510</v>
      </c>
      <c r="B453" s="27" t="s">
        <v>31</v>
      </c>
      <c r="C453" s="37">
        <f>SUM(D453:R453)</f>
        <v>12</v>
      </c>
      <c r="D453" s="31">
        <v>12</v>
      </c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29">
        <f>YEAR(Tabla2[[#This Row],[Fecha]])</f>
        <v>2024</v>
      </c>
    </row>
    <row r="454" hidden="1" spans="1:19">
      <c r="A454" s="27">
        <v>45524</v>
      </c>
      <c r="B454" s="27" t="s">
        <v>31</v>
      </c>
      <c r="C454" s="37">
        <f>SUM(D454:R454)</f>
        <v>18</v>
      </c>
      <c r="D454" s="31">
        <v>18</v>
      </c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29">
        <f>YEAR(Tabla2[[#This Row],[Fecha]])</f>
        <v>2024</v>
      </c>
    </row>
    <row r="455" hidden="1" spans="1:19">
      <c r="A455" s="27">
        <v>45525</v>
      </c>
      <c r="B455" s="27" t="s">
        <v>31</v>
      </c>
      <c r="C455" s="37">
        <f>SUM(D455:R455)</f>
        <v>31</v>
      </c>
      <c r="D455" s="31">
        <v>12</v>
      </c>
      <c r="E455" s="31">
        <v>19</v>
      </c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29">
        <f>YEAR(Tabla2[[#This Row],[Fecha]])</f>
        <v>2024</v>
      </c>
    </row>
    <row r="456" hidden="1" spans="1:19">
      <c r="A456" s="27">
        <v>45538</v>
      </c>
      <c r="B456" s="27" t="s">
        <v>31</v>
      </c>
      <c r="C456" s="37">
        <f>SUM(D456:R456)</f>
        <v>40</v>
      </c>
      <c r="D456" s="31">
        <v>12</v>
      </c>
      <c r="E456" s="31">
        <v>28</v>
      </c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29">
        <f>YEAR(Tabla2[[#This Row],[Fecha]])</f>
        <v>2024</v>
      </c>
    </row>
    <row r="457" hidden="1" spans="1:19">
      <c r="A457" s="27">
        <v>45540</v>
      </c>
      <c r="B457" s="27" t="s">
        <v>31</v>
      </c>
      <c r="C457" s="37">
        <f>SUM(D457:R457)</f>
        <v>33</v>
      </c>
      <c r="D457" s="31">
        <v>15</v>
      </c>
      <c r="E457" s="31">
        <v>18</v>
      </c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29">
        <f>YEAR(Tabla2[[#This Row],[Fecha]])</f>
        <v>2024</v>
      </c>
    </row>
    <row r="458" hidden="1" spans="1:19">
      <c r="A458" s="27">
        <v>45541</v>
      </c>
      <c r="B458" s="27" t="s">
        <v>31</v>
      </c>
      <c r="C458" s="37">
        <f>SUM(D458:R458)</f>
        <v>15</v>
      </c>
      <c r="D458" s="31">
        <v>2</v>
      </c>
      <c r="E458" s="31">
        <v>4</v>
      </c>
      <c r="F458" s="31">
        <v>9</v>
      </c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29">
        <f>YEAR(Tabla2[[#This Row],[Fecha]])</f>
        <v>2024</v>
      </c>
    </row>
    <row r="459" hidden="1" spans="1:19">
      <c r="A459" s="27">
        <v>45549</v>
      </c>
      <c r="B459" s="27" t="s">
        <v>31</v>
      </c>
      <c r="C459" s="30">
        <f>SUM(D459:R459)</f>
        <v>14</v>
      </c>
      <c r="D459" s="31">
        <v>4</v>
      </c>
      <c r="E459" s="31">
        <v>2</v>
      </c>
      <c r="F459" s="31">
        <v>2</v>
      </c>
      <c r="G459" s="31">
        <v>4</v>
      </c>
      <c r="H459" s="31">
        <v>2</v>
      </c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29">
        <f>YEAR(Tabla2[[#This Row],[Fecha]])</f>
        <v>2024</v>
      </c>
    </row>
    <row r="460" hidden="1" spans="1:19">
      <c r="A460" s="27">
        <v>45551</v>
      </c>
      <c r="B460" s="27" t="s">
        <v>31</v>
      </c>
      <c r="C460" s="30">
        <f>SUM(D460:R460)</f>
        <v>35</v>
      </c>
      <c r="D460" s="31">
        <v>35</v>
      </c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29">
        <f>YEAR(Tabla2[[#This Row],[Fecha]])</f>
        <v>2024</v>
      </c>
    </row>
    <row r="461" hidden="1" spans="1:19">
      <c r="A461" s="27">
        <v>45551</v>
      </c>
      <c r="B461" s="27" t="s">
        <v>51</v>
      </c>
      <c r="C461" s="30">
        <f>SUM(D461:R461)</f>
        <v>17</v>
      </c>
      <c r="D461" s="31">
        <v>17</v>
      </c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29">
        <f>YEAR(Tabla2[[#This Row],[Fecha]])</f>
        <v>2024</v>
      </c>
    </row>
    <row r="462" hidden="1" spans="1:19">
      <c r="A462" s="27">
        <v>45552</v>
      </c>
      <c r="B462" s="27" t="s">
        <v>31</v>
      </c>
      <c r="C462" s="30">
        <f>SUM(D462:R462)</f>
        <v>32</v>
      </c>
      <c r="D462" s="31">
        <v>32</v>
      </c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29">
        <f>YEAR(Tabla2[[#This Row],[Fecha]])</f>
        <v>2024</v>
      </c>
    </row>
    <row r="463" hidden="1" spans="1:19">
      <c r="A463" s="27">
        <v>45553</v>
      </c>
      <c r="B463" s="27" t="s">
        <v>26</v>
      </c>
      <c r="C463" s="30">
        <f>SUM(D463:R463)</f>
        <v>32</v>
      </c>
      <c r="D463" s="31">
        <v>3</v>
      </c>
      <c r="E463" s="31">
        <v>11</v>
      </c>
      <c r="F463" s="31">
        <v>3</v>
      </c>
      <c r="G463" s="31">
        <v>15</v>
      </c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29">
        <f>YEAR(Tabla2[[#This Row],[Fecha]])</f>
        <v>2024</v>
      </c>
    </row>
    <row r="464" hidden="1" spans="1:19">
      <c r="A464" s="27">
        <v>45554</v>
      </c>
      <c r="B464" s="27" t="s">
        <v>31</v>
      </c>
      <c r="C464" s="30">
        <f>SUM(D464:R464)</f>
        <v>35</v>
      </c>
      <c r="D464" s="31">
        <v>35</v>
      </c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29">
        <f>YEAR(Tabla2[[#This Row],[Fecha]])</f>
        <v>2024</v>
      </c>
    </row>
    <row r="465" hidden="1" spans="1:19">
      <c r="A465" s="27">
        <v>45554</v>
      </c>
      <c r="B465" s="27" t="s">
        <v>26</v>
      </c>
      <c r="C465" s="30">
        <f>SUM(D465:R465)</f>
        <v>27</v>
      </c>
      <c r="D465" s="31">
        <v>5</v>
      </c>
      <c r="E465" s="31">
        <v>5</v>
      </c>
      <c r="F465" s="31">
        <v>5</v>
      </c>
      <c r="G465" s="31">
        <v>5</v>
      </c>
      <c r="H465" s="31">
        <v>7</v>
      </c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29">
        <f>YEAR(Tabla2[[#This Row],[Fecha]])</f>
        <v>2024</v>
      </c>
    </row>
    <row r="466" hidden="1" spans="1:19">
      <c r="A466" s="27">
        <v>45555</v>
      </c>
      <c r="B466" s="27" t="s">
        <v>26</v>
      </c>
      <c r="C466" s="30">
        <f>SUM(D466:R466)</f>
        <v>32</v>
      </c>
      <c r="D466" s="31">
        <v>5</v>
      </c>
      <c r="E466" s="31">
        <v>6</v>
      </c>
      <c r="F466" s="31">
        <v>5</v>
      </c>
      <c r="G466" s="31">
        <v>3</v>
      </c>
      <c r="H466" s="31">
        <v>6</v>
      </c>
      <c r="I466" s="31">
        <v>7</v>
      </c>
      <c r="J466" s="31"/>
      <c r="K466" s="31"/>
      <c r="L466" s="31"/>
      <c r="M466" s="31"/>
      <c r="N466" s="31"/>
      <c r="O466" s="31"/>
      <c r="P466" s="31"/>
      <c r="Q466" s="31"/>
      <c r="R466" s="31"/>
      <c r="S466" s="29">
        <f>YEAR(Tabla2[[#This Row],[Fecha]])</f>
        <v>2024</v>
      </c>
    </row>
    <row r="467" hidden="1" spans="1:19">
      <c r="A467" s="27">
        <v>45556</v>
      </c>
      <c r="B467" s="27" t="s">
        <v>51</v>
      </c>
      <c r="C467" s="30">
        <f>SUM(D467:R467)</f>
        <v>34</v>
      </c>
      <c r="D467" s="31">
        <v>6</v>
      </c>
      <c r="E467" s="31">
        <v>9</v>
      </c>
      <c r="F467" s="31">
        <v>8</v>
      </c>
      <c r="G467" s="31">
        <v>6</v>
      </c>
      <c r="H467" s="31">
        <v>5</v>
      </c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29">
        <f>YEAR(Tabla2[[#This Row],[Fecha]])</f>
        <v>2024</v>
      </c>
    </row>
    <row r="468" hidden="1" spans="1:19">
      <c r="A468" s="27">
        <v>45558</v>
      </c>
      <c r="B468" s="27" t="s">
        <v>51</v>
      </c>
      <c r="C468" s="30">
        <f>SUM(D468:R468)</f>
        <v>38</v>
      </c>
      <c r="D468" s="31">
        <v>6</v>
      </c>
      <c r="E468" s="31">
        <v>8</v>
      </c>
      <c r="F468" s="31">
        <v>9</v>
      </c>
      <c r="G468" s="31">
        <v>9</v>
      </c>
      <c r="H468" s="31">
        <v>6</v>
      </c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29">
        <f>YEAR(Tabla2[[#This Row],[Fecha]])</f>
        <v>2024</v>
      </c>
    </row>
    <row r="469" hidden="1" spans="1:19">
      <c r="A469" s="27">
        <v>45559</v>
      </c>
      <c r="B469" s="27" t="s">
        <v>51</v>
      </c>
      <c r="C469" s="30">
        <f>SUM(D469:R469)</f>
        <v>23</v>
      </c>
      <c r="D469" s="31">
        <v>12</v>
      </c>
      <c r="E469" s="31">
        <v>6</v>
      </c>
      <c r="F469" s="31">
        <v>5</v>
      </c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29">
        <f>YEAR(Tabla2[[#This Row],[Fecha]])</f>
        <v>2024</v>
      </c>
    </row>
    <row r="470" hidden="1" spans="1:19">
      <c r="A470" s="27">
        <v>45560</v>
      </c>
      <c r="B470" s="27" t="s">
        <v>51</v>
      </c>
      <c r="C470" s="30">
        <f>SUM(D470:R470)</f>
        <v>13</v>
      </c>
      <c r="D470" s="31">
        <v>5</v>
      </c>
      <c r="E470" s="31">
        <v>8</v>
      </c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29">
        <f>YEAR(Tabla2[[#This Row],[Fecha]])</f>
        <v>2024</v>
      </c>
    </row>
    <row r="471" hidden="1" spans="1:19">
      <c r="A471" s="27">
        <v>45561</v>
      </c>
      <c r="B471" s="27" t="s">
        <v>31</v>
      </c>
      <c r="C471" s="30">
        <f>SUM(D471:R471)</f>
        <v>60</v>
      </c>
      <c r="D471" s="31">
        <v>2</v>
      </c>
      <c r="E471" s="31">
        <v>5</v>
      </c>
      <c r="F471" s="31">
        <v>8</v>
      </c>
      <c r="G471" s="31">
        <v>9</v>
      </c>
      <c r="H471" s="31">
        <v>15</v>
      </c>
      <c r="I471" s="31">
        <v>6</v>
      </c>
      <c r="J471" s="31">
        <v>15</v>
      </c>
      <c r="K471" s="31"/>
      <c r="L471" s="31"/>
      <c r="M471" s="31"/>
      <c r="N471" s="31"/>
      <c r="O471" s="31"/>
      <c r="P471" s="31"/>
      <c r="Q471" s="31"/>
      <c r="R471" s="31"/>
      <c r="S471" s="29">
        <f>YEAR(Tabla2[[#This Row],[Fecha]])</f>
        <v>2024</v>
      </c>
    </row>
    <row r="472" hidden="1" spans="1:19">
      <c r="A472" s="27">
        <v>45562</v>
      </c>
      <c r="B472" s="27" t="s">
        <v>31</v>
      </c>
      <c r="C472" s="30">
        <f>SUM(D472:R472)</f>
        <v>38</v>
      </c>
      <c r="D472" s="31">
        <v>9</v>
      </c>
      <c r="E472" s="31">
        <v>7</v>
      </c>
      <c r="F472" s="31">
        <v>6</v>
      </c>
      <c r="G472" s="31">
        <v>16</v>
      </c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29">
        <f>YEAR(Tabla2[[#This Row],[Fecha]])</f>
        <v>2024</v>
      </c>
    </row>
    <row r="473" hidden="1" spans="1:19">
      <c r="A473" s="27">
        <v>45565</v>
      </c>
      <c r="B473" s="27" t="s">
        <v>31</v>
      </c>
      <c r="C473" s="30">
        <f>SUM(D473:R473)</f>
        <v>30</v>
      </c>
      <c r="D473" s="31">
        <v>6</v>
      </c>
      <c r="E473" s="31">
        <v>7</v>
      </c>
      <c r="F473" s="31">
        <v>14</v>
      </c>
      <c r="G473" s="31">
        <v>3</v>
      </c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29">
        <f>YEAR(Tabla2[[#This Row],[Fecha]])</f>
        <v>2024</v>
      </c>
    </row>
    <row r="474" hidden="1" spans="1:19">
      <c r="A474" s="27">
        <v>45566</v>
      </c>
      <c r="B474" s="27" t="s">
        <v>31</v>
      </c>
      <c r="C474" s="30">
        <f>SUM(D474:R474)</f>
        <v>50</v>
      </c>
      <c r="D474" s="31">
        <v>4</v>
      </c>
      <c r="E474" s="31">
        <v>8</v>
      </c>
      <c r="F474" s="31">
        <v>5</v>
      </c>
      <c r="G474" s="31">
        <v>15</v>
      </c>
      <c r="H474" s="31">
        <v>8</v>
      </c>
      <c r="I474" s="31">
        <v>4</v>
      </c>
      <c r="J474" s="31">
        <v>6</v>
      </c>
      <c r="K474" s="31"/>
      <c r="L474" s="31"/>
      <c r="M474" s="31"/>
      <c r="N474" s="31"/>
      <c r="O474" s="31"/>
      <c r="P474" s="31"/>
      <c r="Q474" s="31"/>
      <c r="R474" s="31"/>
      <c r="S474" s="29">
        <f>YEAR(Tabla2[[#This Row],[Fecha]])</f>
        <v>2024</v>
      </c>
    </row>
    <row r="475" hidden="1" spans="1:19">
      <c r="A475" s="27">
        <v>45568</v>
      </c>
      <c r="B475" s="27" t="s">
        <v>31</v>
      </c>
      <c r="C475" s="30">
        <f>SUM(D475:R475)</f>
        <v>50</v>
      </c>
      <c r="D475" s="31">
        <v>7</v>
      </c>
      <c r="E475" s="31">
        <v>4</v>
      </c>
      <c r="F475" s="31">
        <v>4</v>
      </c>
      <c r="G475" s="31">
        <v>3</v>
      </c>
      <c r="H475" s="31">
        <v>4</v>
      </c>
      <c r="I475" s="31">
        <v>7</v>
      </c>
      <c r="J475" s="31">
        <v>21</v>
      </c>
      <c r="K475" s="31"/>
      <c r="L475" s="31"/>
      <c r="M475" s="31"/>
      <c r="N475" s="31"/>
      <c r="O475" s="31"/>
      <c r="P475" s="31"/>
      <c r="Q475" s="31"/>
      <c r="R475" s="31"/>
      <c r="S475" s="29">
        <f>YEAR(Tabla2[[#This Row],[Fecha]])</f>
        <v>2024</v>
      </c>
    </row>
    <row r="476" hidden="1" spans="1:19">
      <c r="A476" s="27">
        <v>45569</v>
      </c>
      <c r="B476" s="27" t="s">
        <v>31</v>
      </c>
      <c r="C476" s="30">
        <f>SUM(D476:R476)</f>
        <v>30</v>
      </c>
      <c r="D476" s="31">
        <v>6</v>
      </c>
      <c r="E476" s="31">
        <v>2</v>
      </c>
      <c r="F476" s="31">
        <v>15</v>
      </c>
      <c r="G476" s="31">
        <v>7</v>
      </c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29">
        <f>YEAR(Tabla2[[#This Row],[Fecha]])</f>
        <v>2024</v>
      </c>
    </row>
    <row r="477" hidden="1" spans="1:19">
      <c r="A477" s="27">
        <v>45570</v>
      </c>
      <c r="B477" s="27" t="s">
        <v>27</v>
      </c>
      <c r="C477" s="30">
        <f>SUM(D477:R477)</f>
        <v>39</v>
      </c>
      <c r="D477" s="31">
        <v>28</v>
      </c>
      <c r="E477" s="31">
        <v>11</v>
      </c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29">
        <f>YEAR(Tabla2[[#This Row],[Fecha]])</f>
        <v>2024</v>
      </c>
    </row>
    <row r="478" hidden="1" spans="1:19">
      <c r="A478" s="27">
        <v>45573</v>
      </c>
      <c r="B478" s="27" t="s">
        <v>31</v>
      </c>
      <c r="C478" s="30">
        <f>SUM(D478:R478)</f>
        <v>40</v>
      </c>
      <c r="D478" s="31">
        <v>4</v>
      </c>
      <c r="E478" s="31">
        <v>8</v>
      </c>
      <c r="F478" s="31">
        <v>2</v>
      </c>
      <c r="G478" s="31">
        <v>6</v>
      </c>
      <c r="H478" s="31">
        <v>13</v>
      </c>
      <c r="I478" s="31">
        <v>7</v>
      </c>
      <c r="J478" s="31"/>
      <c r="K478" s="31"/>
      <c r="L478" s="31"/>
      <c r="M478" s="31"/>
      <c r="N478" s="31"/>
      <c r="O478" s="31"/>
      <c r="P478" s="31"/>
      <c r="Q478" s="31"/>
      <c r="R478" s="31"/>
      <c r="S478" s="29">
        <f>YEAR(Tabla2[[#This Row],[Fecha]])</f>
        <v>2024</v>
      </c>
    </row>
    <row r="479" hidden="1" spans="1:19">
      <c r="A479" s="27">
        <v>45574</v>
      </c>
      <c r="B479" s="27" t="s">
        <v>31</v>
      </c>
      <c r="C479" s="30">
        <f>SUM(D479:R479)</f>
        <v>42</v>
      </c>
      <c r="D479" s="31">
        <v>3</v>
      </c>
      <c r="E479" s="31">
        <v>15</v>
      </c>
      <c r="F479" s="31">
        <v>6</v>
      </c>
      <c r="G479" s="31">
        <v>11</v>
      </c>
      <c r="H479" s="31">
        <v>7</v>
      </c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29">
        <f>YEAR(Tabla2[[#This Row],[Fecha]])</f>
        <v>2024</v>
      </c>
    </row>
    <row r="480" hidden="1" spans="1:19">
      <c r="A480" s="27">
        <v>45575</v>
      </c>
      <c r="B480" s="27" t="s">
        <v>52</v>
      </c>
      <c r="C480" s="30">
        <f>SUM(D480:R480)</f>
        <v>82</v>
      </c>
      <c r="D480" s="31">
        <v>5</v>
      </c>
      <c r="E480" s="31">
        <v>11</v>
      </c>
      <c r="F480" s="31">
        <v>17</v>
      </c>
      <c r="G480" s="31">
        <v>16</v>
      </c>
      <c r="H480" s="31">
        <v>14</v>
      </c>
      <c r="I480" s="31">
        <v>19</v>
      </c>
      <c r="J480" s="31"/>
      <c r="K480" s="31"/>
      <c r="L480" s="31"/>
      <c r="M480" s="31"/>
      <c r="N480" s="31"/>
      <c r="O480" s="31"/>
      <c r="P480" s="31"/>
      <c r="Q480" s="31"/>
      <c r="R480" s="31"/>
      <c r="S480" s="29">
        <f>YEAR(Tabla2[[#This Row],[Fecha]])</f>
        <v>2024</v>
      </c>
    </row>
    <row r="481" hidden="1" spans="1:19">
      <c r="A481" s="27">
        <v>45576</v>
      </c>
      <c r="B481" s="27" t="s">
        <v>52</v>
      </c>
      <c r="C481" s="30">
        <f>SUM(D481:R481)</f>
        <v>65</v>
      </c>
      <c r="D481" s="31">
        <v>6</v>
      </c>
      <c r="E481" s="31">
        <v>10</v>
      </c>
      <c r="F481" s="31">
        <v>7</v>
      </c>
      <c r="G481" s="31">
        <v>7</v>
      </c>
      <c r="H481" s="31">
        <v>8</v>
      </c>
      <c r="I481" s="31">
        <v>6</v>
      </c>
      <c r="J481" s="31">
        <v>8</v>
      </c>
      <c r="K481" s="31">
        <v>7</v>
      </c>
      <c r="L481" s="31">
        <v>6</v>
      </c>
      <c r="M481" s="31"/>
      <c r="N481" s="31"/>
      <c r="O481" s="31"/>
      <c r="P481" s="31"/>
      <c r="Q481" s="31"/>
      <c r="R481" s="31"/>
      <c r="S481" s="29">
        <f>YEAR(Tabla2[[#This Row],[Fecha]])</f>
        <v>2024</v>
      </c>
    </row>
    <row r="482" hidden="1" spans="1:19">
      <c r="A482" s="27">
        <v>45577</v>
      </c>
      <c r="B482" s="27" t="s">
        <v>52</v>
      </c>
      <c r="C482" s="30">
        <f>SUM(D482:R482)</f>
        <v>54</v>
      </c>
      <c r="D482" s="31">
        <v>11</v>
      </c>
      <c r="E482" s="31">
        <v>4</v>
      </c>
      <c r="F482" s="31">
        <v>5</v>
      </c>
      <c r="G482" s="31">
        <v>6</v>
      </c>
      <c r="H482" s="31">
        <v>19</v>
      </c>
      <c r="I482" s="31">
        <v>8</v>
      </c>
      <c r="J482" s="31">
        <v>1</v>
      </c>
      <c r="K482" s="31"/>
      <c r="L482" s="31"/>
      <c r="M482" s="31"/>
      <c r="N482" s="31"/>
      <c r="O482" s="31"/>
      <c r="P482" s="31"/>
      <c r="Q482" s="31"/>
      <c r="R482" s="31"/>
      <c r="S482" s="29">
        <f>YEAR(Tabla2[[#This Row],[Fecha]])</f>
        <v>2024</v>
      </c>
    </row>
    <row r="483" hidden="1" spans="1:19">
      <c r="A483" s="27">
        <v>45578</v>
      </c>
      <c r="B483" s="27" t="s">
        <v>20</v>
      </c>
      <c r="C483" s="30">
        <f>SUM(D483:R483)</f>
        <v>50</v>
      </c>
      <c r="D483" s="31">
        <v>50</v>
      </c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29">
        <f>YEAR(Tabla2[[#This Row],[Fecha]])</f>
        <v>2024</v>
      </c>
    </row>
    <row r="484" hidden="1" spans="1:19">
      <c r="A484" s="27">
        <v>45579</v>
      </c>
      <c r="B484" s="27" t="s">
        <v>20</v>
      </c>
      <c r="C484" s="30">
        <f>SUM(D484:R484)</f>
        <v>136</v>
      </c>
      <c r="D484" s="31">
        <v>37</v>
      </c>
      <c r="E484" s="31">
        <v>37</v>
      </c>
      <c r="F484" s="31">
        <v>38</v>
      </c>
      <c r="G484" s="31">
        <v>24</v>
      </c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29">
        <f>YEAR(Tabla2[[#This Row],[Fecha]])</f>
        <v>2024</v>
      </c>
    </row>
    <row r="485" hidden="1" spans="1:19">
      <c r="A485" s="27">
        <v>45580</v>
      </c>
      <c r="B485" s="27" t="s">
        <v>23</v>
      </c>
      <c r="C485" s="30">
        <f>SUM(D485:R485)</f>
        <v>66</v>
      </c>
      <c r="D485" s="31">
        <f>60+6</f>
        <v>66</v>
      </c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29">
        <f>YEAR(Tabla2[[#This Row],[Fecha]])</f>
        <v>2024</v>
      </c>
    </row>
    <row r="486" hidden="1" spans="1:19">
      <c r="A486" s="27">
        <v>45581</v>
      </c>
      <c r="B486" s="27" t="s">
        <v>23</v>
      </c>
      <c r="C486" s="30">
        <f>SUM(D486:R486)</f>
        <v>77</v>
      </c>
      <c r="D486" s="31">
        <v>31</v>
      </c>
      <c r="E486" s="31">
        <v>46</v>
      </c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29">
        <f>YEAR(Tabla2[[#This Row],[Fecha]])</f>
        <v>2024</v>
      </c>
    </row>
    <row r="487" hidden="1" spans="1:22">
      <c r="A487" s="27">
        <v>45582</v>
      </c>
      <c r="B487" s="27" t="s">
        <v>23</v>
      </c>
      <c r="C487" s="30">
        <f>SUM(D487:R487)</f>
        <v>89</v>
      </c>
      <c r="D487" s="31">
        <v>30</v>
      </c>
      <c r="E487" s="31">
        <v>19</v>
      </c>
      <c r="F487" s="31">
        <v>23</v>
      </c>
      <c r="G487" s="31">
        <v>6</v>
      </c>
      <c r="H487" s="31">
        <v>11</v>
      </c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29">
        <f>YEAR(Tabla2[[#This Row],[Fecha]])</f>
        <v>2024</v>
      </c>
      <c r="V487" s="39"/>
    </row>
    <row r="488" hidden="1" spans="1:19">
      <c r="A488" s="27">
        <v>45583</v>
      </c>
      <c r="B488" s="27" t="s">
        <v>23</v>
      </c>
      <c r="C488" s="30">
        <f>SUM(D488:R488)</f>
        <v>35</v>
      </c>
      <c r="D488" s="31">
        <v>20</v>
      </c>
      <c r="E488" s="31">
        <v>15</v>
      </c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29">
        <f>YEAR(Tabla2[[#This Row],[Fecha]])</f>
        <v>2024</v>
      </c>
    </row>
    <row r="489" hidden="1" spans="1:19">
      <c r="A489" s="27">
        <v>45584</v>
      </c>
      <c r="B489" s="27" t="s">
        <v>23</v>
      </c>
      <c r="C489" s="30">
        <f>SUM(D489:R489)</f>
        <v>51</v>
      </c>
      <c r="D489" s="31">
        <v>18</v>
      </c>
      <c r="E489" s="31">
        <v>4</v>
      </c>
      <c r="F489" s="31">
        <v>11</v>
      </c>
      <c r="G489" s="31">
        <v>13</v>
      </c>
      <c r="H489" s="31">
        <v>5</v>
      </c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29">
        <f>YEAR(Tabla2[[#This Row],[Fecha]])</f>
        <v>2024</v>
      </c>
    </row>
    <row r="490" hidden="1" spans="1:19">
      <c r="A490" s="27">
        <v>45586</v>
      </c>
      <c r="B490" s="27" t="s">
        <v>26</v>
      </c>
      <c r="C490" s="30">
        <f>SUM(D490:R490)</f>
        <v>34</v>
      </c>
      <c r="D490" s="31">
        <v>34</v>
      </c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29">
        <f>YEAR(Tabla2[[#This Row],[Fecha]])</f>
        <v>2024</v>
      </c>
    </row>
    <row r="491" hidden="1" spans="1:19">
      <c r="A491" s="27">
        <v>45587</v>
      </c>
      <c r="B491" s="27" t="s">
        <v>26</v>
      </c>
      <c r="C491" s="30">
        <f>SUM(D491:R491)</f>
        <v>59</v>
      </c>
      <c r="D491" s="31">
        <v>59</v>
      </c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29">
        <f>YEAR(Tabla2[[#This Row],[Fecha]])</f>
        <v>2024</v>
      </c>
    </row>
    <row r="492" hidden="1" spans="1:19">
      <c r="A492" s="27">
        <v>45590</v>
      </c>
      <c r="B492" s="27" t="s">
        <v>26</v>
      </c>
      <c r="C492" s="30">
        <f>SUM(D492:R492)</f>
        <v>61</v>
      </c>
      <c r="D492" s="31">
        <v>61</v>
      </c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29">
        <f>YEAR(Tabla2[[#This Row],[Fecha]])</f>
        <v>2024</v>
      </c>
    </row>
    <row r="493" hidden="1" spans="1:19">
      <c r="A493" s="27">
        <v>45595</v>
      </c>
      <c r="B493" s="27" t="s">
        <v>26</v>
      </c>
      <c r="C493" s="30">
        <f>SUM(D493:R493)</f>
        <v>30</v>
      </c>
      <c r="D493" s="31">
        <v>30</v>
      </c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29">
        <f>YEAR(Tabla2[[#This Row],[Fecha]])</f>
        <v>2024</v>
      </c>
    </row>
    <row r="494" hidden="1" spans="1:19">
      <c r="A494" s="27">
        <v>45596</v>
      </c>
      <c r="B494" s="27" t="s">
        <v>26</v>
      </c>
      <c r="C494" s="30">
        <f>SUM(D494:R494)</f>
        <v>53</v>
      </c>
      <c r="D494" s="31">
        <v>53</v>
      </c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29">
        <f>YEAR(Tabla2[[#This Row],[Fecha]])</f>
        <v>2024</v>
      </c>
    </row>
    <row r="495" hidden="1" spans="1:19">
      <c r="A495" s="27">
        <v>45597</v>
      </c>
      <c r="B495" s="27" t="s">
        <v>26</v>
      </c>
      <c r="C495" s="30">
        <f>SUM(D495:R495)</f>
        <v>37</v>
      </c>
      <c r="D495" s="31">
        <v>37</v>
      </c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29">
        <f>YEAR(Tabla2[[#This Row],[Fecha]])</f>
        <v>2024</v>
      </c>
    </row>
    <row r="496" hidden="1" spans="1:19">
      <c r="A496" s="27">
        <v>45599</v>
      </c>
      <c r="B496" s="27" t="s">
        <v>26</v>
      </c>
      <c r="C496" s="30">
        <f>SUM(D496:R496)</f>
        <v>57</v>
      </c>
      <c r="D496" s="31">
        <v>57</v>
      </c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29">
        <f>YEAR(Tabla2[[#This Row],[Fecha]])</f>
        <v>2024</v>
      </c>
    </row>
    <row r="497" hidden="1" spans="1:19">
      <c r="A497" s="27">
        <v>45600</v>
      </c>
      <c r="B497" s="27" t="s">
        <v>26</v>
      </c>
      <c r="C497" s="30">
        <f>SUM(D497:R497)</f>
        <v>57</v>
      </c>
      <c r="D497" s="31">
        <v>57</v>
      </c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29">
        <f>YEAR(Tabla2[[#This Row],[Fecha]])</f>
        <v>2024</v>
      </c>
    </row>
    <row r="498" hidden="1" spans="1:19">
      <c r="A498" s="27">
        <v>45603</v>
      </c>
      <c r="B498" s="27" t="s">
        <v>26</v>
      </c>
      <c r="C498" s="30">
        <f>SUM(D498:R498)</f>
        <v>71</v>
      </c>
      <c r="D498" s="31">
        <v>71</v>
      </c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29">
        <f>YEAR(Tabla2[[#This Row],[Fecha]])</f>
        <v>2024</v>
      </c>
    </row>
    <row r="499" hidden="1" spans="1:19">
      <c r="A499" s="27">
        <v>45604</v>
      </c>
      <c r="B499" s="27" t="s">
        <v>26</v>
      </c>
      <c r="C499" s="30">
        <f>SUM(D499:R499)</f>
        <v>70</v>
      </c>
      <c r="D499" s="31">
        <v>70</v>
      </c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29">
        <f>YEAR(Tabla2[[#This Row],[Fecha]])</f>
        <v>2024</v>
      </c>
    </row>
    <row r="500" hidden="1" spans="1:19">
      <c r="A500" s="27">
        <v>45605</v>
      </c>
      <c r="B500" s="27" t="s">
        <v>26</v>
      </c>
      <c r="C500" s="30">
        <f>SUM(D500:R500)</f>
        <v>24</v>
      </c>
      <c r="D500" s="31">
        <v>24</v>
      </c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29">
        <f>YEAR(Tabla2[[#This Row],[Fecha]])</f>
        <v>2024</v>
      </c>
    </row>
    <row r="501" hidden="1" spans="1:19">
      <c r="A501" s="27">
        <v>45606</v>
      </c>
      <c r="B501" s="27" t="s">
        <v>26</v>
      </c>
      <c r="C501" s="30">
        <f>SUM(D501:R501)</f>
        <v>48</v>
      </c>
      <c r="D501" s="31">
        <v>48</v>
      </c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29">
        <f>YEAR(Tabla2[[#This Row],[Fecha]])</f>
        <v>2024</v>
      </c>
    </row>
    <row r="502" hidden="1" spans="1:19">
      <c r="A502" s="27">
        <v>45607</v>
      </c>
      <c r="B502" s="27" t="s">
        <v>26</v>
      </c>
      <c r="C502" s="30">
        <f>SUM(D502:R502)</f>
        <v>33</v>
      </c>
      <c r="D502" s="31">
        <v>33</v>
      </c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29">
        <f>YEAR(Tabla2[[#This Row],[Fecha]])</f>
        <v>2024</v>
      </c>
    </row>
    <row r="503" hidden="1" spans="1:19">
      <c r="A503" s="27">
        <v>45608</v>
      </c>
      <c r="B503" s="27" t="s">
        <v>26</v>
      </c>
      <c r="C503" s="30">
        <f>SUM(D503:R503)</f>
        <v>42</v>
      </c>
      <c r="D503" s="31">
        <v>42</v>
      </c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29">
        <f>YEAR(Tabla2[[#This Row],[Fecha]])</f>
        <v>2024</v>
      </c>
    </row>
    <row r="504" hidden="1" spans="1:19">
      <c r="A504" s="27">
        <v>45609</v>
      </c>
      <c r="B504" s="27" t="s">
        <v>26</v>
      </c>
      <c r="C504" s="30">
        <f>SUM(D504:R504)</f>
        <v>55</v>
      </c>
      <c r="D504" s="31">
        <v>55</v>
      </c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29">
        <f>YEAR(Tabla2[[#This Row],[Fecha]])</f>
        <v>2024</v>
      </c>
    </row>
    <row r="505" hidden="1" spans="1:19">
      <c r="A505" s="27">
        <v>45614</v>
      </c>
      <c r="B505" s="27" t="s">
        <v>47</v>
      </c>
      <c r="C505" s="30">
        <f>SUM(D505:R505)</f>
        <v>36</v>
      </c>
      <c r="D505" s="31">
        <v>21</v>
      </c>
      <c r="E505" s="31">
        <v>15</v>
      </c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29">
        <f>YEAR(Tabla2[[#This Row],[Fecha]])</f>
        <v>2024</v>
      </c>
    </row>
    <row r="506" hidden="1" spans="1:19">
      <c r="A506" s="27">
        <v>45615</v>
      </c>
      <c r="B506" s="27" t="s">
        <v>47</v>
      </c>
      <c r="C506" s="30">
        <f>SUM(D506:R506)</f>
        <v>19</v>
      </c>
      <c r="D506" s="31">
        <v>19</v>
      </c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29">
        <f>YEAR(Tabla2[[#This Row],[Fecha]])</f>
        <v>2024</v>
      </c>
    </row>
    <row r="507" hidden="1" spans="1:19">
      <c r="A507" s="27">
        <v>45615</v>
      </c>
      <c r="B507" s="27" t="s">
        <v>26</v>
      </c>
      <c r="C507" s="30">
        <f>SUM(D507:R507)</f>
        <v>50</v>
      </c>
      <c r="D507" s="31">
        <v>50</v>
      </c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29">
        <f>YEAR(Tabla2[[#This Row],[Fecha]])</f>
        <v>2024</v>
      </c>
    </row>
    <row r="508" hidden="1" spans="1:19">
      <c r="A508" s="27">
        <v>45616</v>
      </c>
      <c r="B508" s="27" t="s">
        <v>26</v>
      </c>
      <c r="C508" s="30">
        <f>SUM(D508:R508)</f>
        <v>37</v>
      </c>
      <c r="D508" s="31">
        <v>37</v>
      </c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29">
        <f>YEAR(Tabla2[[#This Row],[Fecha]])</f>
        <v>2024</v>
      </c>
    </row>
    <row r="509" hidden="1" spans="1:19">
      <c r="A509" s="27">
        <v>45617</v>
      </c>
      <c r="B509" s="27" t="s">
        <v>26</v>
      </c>
      <c r="C509" s="30">
        <f>SUM(D509:R509)</f>
        <v>54</v>
      </c>
      <c r="D509" s="31">
        <v>54</v>
      </c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29">
        <f>YEAR(Tabla2[[#This Row],[Fecha]])</f>
        <v>2024</v>
      </c>
    </row>
    <row r="510" hidden="1" spans="1:19">
      <c r="A510" s="27">
        <v>45618</v>
      </c>
      <c r="B510" s="27" t="s">
        <v>26</v>
      </c>
      <c r="C510" s="30">
        <f>SUM(D510:R510)</f>
        <v>30</v>
      </c>
      <c r="D510" s="31">
        <v>30</v>
      </c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29">
        <f>YEAR(Tabla2[[#This Row],[Fecha]])</f>
        <v>2024</v>
      </c>
    </row>
    <row r="511" hidden="1" spans="1:19">
      <c r="A511" s="27">
        <v>45647</v>
      </c>
      <c r="B511" s="27" t="s">
        <v>42</v>
      </c>
      <c r="C511" s="30">
        <f>SUM(D511:R511)</f>
        <v>35</v>
      </c>
      <c r="D511" s="31">
        <v>2</v>
      </c>
      <c r="E511" s="31">
        <v>5</v>
      </c>
      <c r="F511" s="31">
        <v>7</v>
      </c>
      <c r="G511" s="31">
        <v>9</v>
      </c>
      <c r="H511" s="31">
        <v>8</v>
      </c>
      <c r="I511" s="31">
        <v>3</v>
      </c>
      <c r="J511" s="31">
        <v>1</v>
      </c>
      <c r="K511" s="31"/>
      <c r="L511" s="31"/>
      <c r="M511" s="31"/>
      <c r="N511" s="31"/>
      <c r="O511" s="31"/>
      <c r="P511" s="31"/>
      <c r="Q511" s="31"/>
      <c r="R511" s="31"/>
      <c r="S511" s="29">
        <f>YEAR(Tabla2[[#This Row],[Fecha]])</f>
        <v>2024</v>
      </c>
    </row>
    <row r="512" spans="1:19">
      <c r="A512" s="27">
        <v>45658</v>
      </c>
      <c r="B512" s="27" t="s">
        <v>53</v>
      </c>
      <c r="C512" s="30">
        <f>SUM(D512:R512)</f>
        <v>30</v>
      </c>
      <c r="D512" s="31">
        <v>2</v>
      </c>
      <c r="E512" s="31">
        <v>5</v>
      </c>
      <c r="F512" s="31">
        <v>4</v>
      </c>
      <c r="G512" s="31">
        <v>6</v>
      </c>
      <c r="H512" s="31">
        <v>1</v>
      </c>
      <c r="I512" s="31">
        <v>2</v>
      </c>
      <c r="J512" s="31">
        <v>7</v>
      </c>
      <c r="K512" s="31">
        <v>3</v>
      </c>
      <c r="L512" s="31"/>
      <c r="M512" s="31"/>
      <c r="N512" s="31"/>
      <c r="O512" s="31"/>
      <c r="P512" s="31"/>
      <c r="Q512" s="31"/>
      <c r="R512" s="31"/>
      <c r="S512" s="29">
        <f>YEAR(Tabla2[[#This Row],[Fecha]])</f>
        <v>2025</v>
      </c>
    </row>
    <row r="513" spans="1:19">
      <c r="A513" s="27">
        <v>45658</v>
      </c>
      <c r="B513" s="27" t="s">
        <v>22</v>
      </c>
      <c r="C513" s="30">
        <f>SUM(D513:R513)</f>
        <v>23</v>
      </c>
      <c r="D513" s="31">
        <v>4</v>
      </c>
      <c r="E513" s="31">
        <v>5</v>
      </c>
      <c r="F513" s="31">
        <v>4</v>
      </c>
      <c r="G513" s="31">
        <v>5</v>
      </c>
      <c r="H513" s="31">
        <v>5</v>
      </c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29">
        <f>YEAR(Tabla2[[#This Row],[Fecha]])</f>
        <v>2025</v>
      </c>
    </row>
    <row r="514" spans="1:19">
      <c r="A514" s="27">
        <v>45659</v>
      </c>
      <c r="B514" s="27" t="s">
        <v>53</v>
      </c>
      <c r="C514" s="30">
        <f>SUM(D514:R514)</f>
        <v>68</v>
      </c>
      <c r="D514" s="31">
        <v>7</v>
      </c>
      <c r="E514" s="31">
        <v>7</v>
      </c>
      <c r="F514" s="31">
        <v>8</v>
      </c>
      <c r="G514" s="31">
        <v>10</v>
      </c>
      <c r="H514" s="31">
        <v>7</v>
      </c>
      <c r="I514" s="31">
        <v>3</v>
      </c>
      <c r="J514" s="31">
        <v>7</v>
      </c>
      <c r="K514" s="31">
        <v>6</v>
      </c>
      <c r="L514" s="31">
        <v>5</v>
      </c>
      <c r="M514" s="31">
        <v>8</v>
      </c>
      <c r="N514" s="31"/>
      <c r="O514" s="31"/>
      <c r="P514" s="31"/>
      <c r="Q514" s="31"/>
      <c r="R514" s="31"/>
      <c r="S514" s="29">
        <f>YEAR(Tabla2[[#This Row],[Fecha]])</f>
        <v>2025</v>
      </c>
    </row>
    <row r="515" spans="1:19">
      <c r="A515" s="27">
        <v>45660</v>
      </c>
      <c r="B515" s="27" t="s">
        <v>53</v>
      </c>
      <c r="C515" s="30">
        <f>SUM(D515:R515)</f>
        <v>61</v>
      </c>
      <c r="D515" s="31">
        <v>8</v>
      </c>
      <c r="E515" s="31">
        <v>10</v>
      </c>
      <c r="F515" s="31">
        <v>9</v>
      </c>
      <c r="G515" s="31">
        <v>5</v>
      </c>
      <c r="H515" s="31">
        <v>8</v>
      </c>
      <c r="I515" s="31">
        <v>4</v>
      </c>
      <c r="J515" s="31">
        <v>8</v>
      </c>
      <c r="K515" s="31">
        <v>1</v>
      </c>
      <c r="L515" s="31">
        <v>6</v>
      </c>
      <c r="M515" s="31">
        <v>2</v>
      </c>
      <c r="N515" s="31"/>
      <c r="O515" s="31"/>
      <c r="P515" s="31"/>
      <c r="Q515" s="31"/>
      <c r="R515" s="31"/>
      <c r="S515" s="29">
        <f>YEAR(Tabla2[[#This Row],[Fecha]])</f>
        <v>2025</v>
      </c>
    </row>
    <row r="516" spans="1:19">
      <c r="A516" s="27">
        <v>45661</v>
      </c>
      <c r="B516" s="27" t="s">
        <v>53</v>
      </c>
      <c r="C516" s="30">
        <f>SUM(D516:R516)</f>
        <v>66</v>
      </c>
      <c r="D516" s="31">
        <v>4</v>
      </c>
      <c r="E516" s="31">
        <v>3</v>
      </c>
      <c r="F516" s="31">
        <v>9</v>
      </c>
      <c r="G516" s="31">
        <v>1</v>
      </c>
      <c r="H516" s="31">
        <v>4</v>
      </c>
      <c r="I516" s="31">
        <v>2</v>
      </c>
      <c r="J516" s="31">
        <v>5</v>
      </c>
      <c r="K516" s="31">
        <v>2</v>
      </c>
      <c r="L516" s="31">
        <v>7</v>
      </c>
      <c r="M516" s="31">
        <v>2</v>
      </c>
      <c r="N516" s="31">
        <v>7</v>
      </c>
      <c r="O516" s="31">
        <v>7</v>
      </c>
      <c r="P516" s="31">
        <v>4</v>
      </c>
      <c r="Q516" s="31">
        <v>9</v>
      </c>
      <c r="R516" s="31"/>
      <c r="S516" s="29">
        <f>YEAR(Tabla2[[#This Row],[Fecha]])</f>
        <v>2025</v>
      </c>
    </row>
    <row r="517" spans="1:19">
      <c r="A517" s="27">
        <v>45662</v>
      </c>
      <c r="B517" s="27" t="s">
        <v>53</v>
      </c>
      <c r="C517" s="30">
        <f>SUM(D517:R517)</f>
        <v>60</v>
      </c>
      <c r="D517" s="31">
        <v>2</v>
      </c>
      <c r="E517" s="31">
        <v>7</v>
      </c>
      <c r="F517" s="31">
        <v>7</v>
      </c>
      <c r="G517" s="31">
        <v>9</v>
      </c>
      <c r="H517" s="31">
        <v>8</v>
      </c>
      <c r="I517" s="31">
        <v>3</v>
      </c>
      <c r="J517" s="31">
        <v>4</v>
      </c>
      <c r="K517" s="31">
        <v>9</v>
      </c>
      <c r="L517" s="31">
        <v>2</v>
      </c>
      <c r="M517" s="31">
        <v>9</v>
      </c>
      <c r="N517" s="31"/>
      <c r="O517" s="31"/>
      <c r="P517" s="31"/>
      <c r="Q517" s="31"/>
      <c r="R517" s="31"/>
      <c r="S517" s="29">
        <f>YEAR(Tabla2[[#This Row],[Fecha]])</f>
        <v>2025</v>
      </c>
    </row>
    <row r="518" spans="1:19">
      <c r="A518" s="27">
        <v>45662</v>
      </c>
      <c r="B518" s="27" t="s">
        <v>34</v>
      </c>
      <c r="C518" s="30">
        <f>SUM(D518:R518)</f>
        <v>35</v>
      </c>
      <c r="D518" s="31">
        <v>2</v>
      </c>
      <c r="E518" s="31">
        <v>4</v>
      </c>
      <c r="F518" s="31">
        <v>5</v>
      </c>
      <c r="G518" s="31">
        <v>9</v>
      </c>
      <c r="H518" s="31">
        <v>1</v>
      </c>
      <c r="I518" s="31">
        <v>1</v>
      </c>
      <c r="J518" s="31">
        <v>1</v>
      </c>
      <c r="K518" s="31">
        <v>4</v>
      </c>
      <c r="L518" s="31">
        <v>8</v>
      </c>
      <c r="M518" s="31"/>
      <c r="N518" s="31"/>
      <c r="O518" s="31"/>
      <c r="P518" s="31"/>
      <c r="Q518" s="31"/>
      <c r="R518" s="31"/>
      <c r="S518" s="29">
        <f>YEAR(Tabla2[[#This Row],[Fecha]])</f>
        <v>2025</v>
      </c>
    </row>
    <row r="519" spans="1:19">
      <c r="A519" s="27">
        <v>45663</v>
      </c>
      <c r="B519" s="27" t="s">
        <v>34</v>
      </c>
      <c r="C519" s="30">
        <f>SUM(D519:R519)</f>
        <v>13</v>
      </c>
      <c r="D519" s="31">
        <v>6</v>
      </c>
      <c r="E519" s="31">
        <v>1</v>
      </c>
      <c r="F519" s="31">
        <v>6</v>
      </c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29">
        <f>YEAR(Tabla2[[#This Row],[Fecha]])</f>
        <v>2025</v>
      </c>
    </row>
    <row r="520" spans="1:19">
      <c r="A520" s="27">
        <v>45663</v>
      </c>
      <c r="B520" s="27" t="s">
        <v>26</v>
      </c>
      <c r="C520" s="30">
        <f>SUM(D520:R520)</f>
        <v>35</v>
      </c>
      <c r="D520" s="31">
        <v>2</v>
      </c>
      <c r="E520" s="31">
        <v>1</v>
      </c>
      <c r="F520" s="31">
        <v>7</v>
      </c>
      <c r="G520" s="31">
        <v>7</v>
      </c>
      <c r="H520" s="31">
        <v>9</v>
      </c>
      <c r="I520" s="31">
        <v>9</v>
      </c>
      <c r="J520" s="31"/>
      <c r="K520" s="31"/>
      <c r="L520" s="31"/>
      <c r="M520" s="31"/>
      <c r="N520" s="31"/>
      <c r="O520" s="31"/>
      <c r="P520" s="31"/>
      <c r="Q520" s="31"/>
      <c r="R520" s="31"/>
      <c r="S520" s="29">
        <f>YEAR(Tabla2[[#This Row],[Fecha]])</f>
        <v>2025</v>
      </c>
    </row>
    <row r="521" spans="1:19">
      <c r="A521" s="27">
        <v>45663</v>
      </c>
      <c r="B521" s="27" t="s">
        <v>53</v>
      </c>
      <c r="C521" s="30">
        <f>SUM(D521:R521)</f>
        <v>46</v>
      </c>
      <c r="D521" s="31">
        <v>2</v>
      </c>
      <c r="E521" s="31">
        <v>6</v>
      </c>
      <c r="F521" s="31">
        <v>2</v>
      </c>
      <c r="G521" s="31">
        <v>8</v>
      </c>
      <c r="H521" s="31">
        <v>1</v>
      </c>
      <c r="I521" s="31">
        <v>6</v>
      </c>
      <c r="J521" s="31">
        <v>1</v>
      </c>
      <c r="K521" s="31">
        <v>3</v>
      </c>
      <c r="L521" s="31">
        <v>6</v>
      </c>
      <c r="M521" s="31">
        <v>1</v>
      </c>
      <c r="N521" s="31">
        <v>5</v>
      </c>
      <c r="O521" s="31">
        <v>5</v>
      </c>
      <c r="P521" s="31"/>
      <c r="Q521" s="31"/>
      <c r="R521" s="31"/>
      <c r="S521" s="29">
        <f>YEAR(Tabla2[[#This Row],[Fecha]])</f>
        <v>2025</v>
      </c>
    </row>
    <row r="522" spans="1:19">
      <c r="A522" s="27">
        <v>45664</v>
      </c>
      <c r="B522" s="27" t="s">
        <v>26</v>
      </c>
      <c r="C522" s="30">
        <f>SUM(D522:R522)</f>
        <v>32</v>
      </c>
      <c r="D522" s="31">
        <v>11</v>
      </c>
      <c r="E522" s="31">
        <v>12</v>
      </c>
      <c r="F522" s="31">
        <v>9</v>
      </c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29">
        <f>YEAR(Tabla2[[#This Row],[Fecha]])</f>
        <v>2025</v>
      </c>
    </row>
    <row r="523" spans="1:19">
      <c r="A523" s="27">
        <v>45664</v>
      </c>
      <c r="B523" s="27" t="s">
        <v>53</v>
      </c>
      <c r="C523" s="30">
        <f>SUM(D523:R523)</f>
        <v>32</v>
      </c>
      <c r="D523" s="31">
        <v>8</v>
      </c>
      <c r="E523" s="31">
        <v>7</v>
      </c>
      <c r="F523" s="31">
        <v>2</v>
      </c>
      <c r="G523" s="31">
        <v>7</v>
      </c>
      <c r="H523" s="31">
        <v>3</v>
      </c>
      <c r="I523" s="31">
        <v>5</v>
      </c>
      <c r="J523" s="31"/>
      <c r="K523" s="31"/>
      <c r="L523" s="31"/>
      <c r="M523" s="31"/>
      <c r="N523" s="31"/>
      <c r="O523" s="31"/>
      <c r="P523" s="31"/>
      <c r="Q523" s="31"/>
      <c r="R523" s="31"/>
      <c r="S523" s="29">
        <f>YEAR(Tabla2[[#This Row],[Fecha]])</f>
        <v>2025</v>
      </c>
    </row>
    <row r="524" spans="1:19">
      <c r="A524" s="27">
        <v>45665</v>
      </c>
      <c r="B524" s="27" t="s">
        <v>26</v>
      </c>
      <c r="C524" s="30">
        <f>SUM(D524:R524)</f>
        <v>66</v>
      </c>
      <c r="D524" s="31">
        <v>14</v>
      </c>
      <c r="E524" s="31">
        <v>7</v>
      </c>
      <c r="F524" s="31">
        <v>16</v>
      </c>
      <c r="G524" s="31">
        <v>11</v>
      </c>
      <c r="H524" s="31">
        <v>10</v>
      </c>
      <c r="I524" s="31">
        <v>6</v>
      </c>
      <c r="J524" s="31">
        <v>1</v>
      </c>
      <c r="K524" s="31">
        <v>1</v>
      </c>
      <c r="L524" s="31"/>
      <c r="M524" s="31"/>
      <c r="N524" s="31"/>
      <c r="O524" s="31"/>
      <c r="P524" s="31"/>
      <c r="Q524" s="31"/>
      <c r="R524" s="31"/>
      <c r="S524" s="29">
        <f>YEAR(Tabla2[[#This Row],[Fecha]])</f>
        <v>2025</v>
      </c>
    </row>
    <row r="525" spans="1:19">
      <c r="A525" s="27">
        <v>45665</v>
      </c>
      <c r="B525" s="27" t="s">
        <v>53</v>
      </c>
      <c r="C525" s="30">
        <f>SUM(D525:R525)</f>
        <v>36</v>
      </c>
      <c r="D525" s="31">
        <v>3</v>
      </c>
      <c r="E525" s="31">
        <v>6</v>
      </c>
      <c r="F525" s="31">
        <v>1</v>
      </c>
      <c r="G525" s="31">
        <v>9</v>
      </c>
      <c r="H525" s="31">
        <v>5</v>
      </c>
      <c r="I525" s="31">
        <v>12</v>
      </c>
      <c r="J525" s="31"/>
      <c r="K525" s="31"/>
      <c r="L525" s="31"/>
      <c r="M525" s="31"/>
      <c r="N525" s="31"/>
      <c r="O525" s="31"/>
      <c r="P525" s="31"/>
      <c r="Q525" s="31"/>
      <c r="R525" s="31"/>
      <c r="S525" s="29">
        <f>YEAR(Tabla2[[#This Row],[Fecha]])</f>
        <v>2025</v>
      </c>
    </row>
    <row r="526" spans="1:19">
      <c r="A526" s="27">
        <v>45665</v>
      </c>
      <c r="B526" s="27" t="s">
        <v>34</v>
      </c>
      <c r="C526" s="30">
        <f>SUM(D526:R526)</f>
        <v>27</v>
      </c>
      <c r="D526" s="31">
        <v>2</v>
      </c>
      <c r="E526" s="31">
        <v>1</v>
      </c>
      <c r="F526" s="31">
        <v>4</v>
      </c>
      <c r="G526" s="31">
        <v>7</v>
      </c>
      <c r="H526" s="31">
        <v>13</v>
      </c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29">
        <f>YEAR(Tabla2[[#This Row],[Fecha]])</f>
        <v>2025</v>
      </c>
    </row>
    <row r="527" spans="1:19">
      <c r="A527" s="27">
        <v>45666</v>
      </c>
      <c r="B527" s="27" t="s">
        <v>53</v>
      </c>
      <c r="C527" s="30">
        <f>SUM(D527:R527)</f>
        <v>30</v>
      </c>
      <c r="D527" s="31">
        <v>3</v>
      </c>
      <c r="E527" s="31">
        <v>10</v>
      </c>
      <c r="F527" s="31">
        <v>10</v>
      </c>
      <c r="G527" s="31">
        <v>5</v>
      </c>
      <c r="H527" s="31">
        <v>2</v>
      </c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29">
        <f>YEAR(Tabla2[[#This Row],[Fecha]])</f>
        <v>2025</v>
      </c>
    </row>
    <row r="528" spans="1:19">
      <c r="A528" s="27">
        <v>45666</v>
      </c>
      <c r="B528" s="27" t="s">
        <v>34</v>
      </c>
      <c r="C528" s="30">
        <f>SUM(D528:R528)</f>
        <v>32</v>
      </c>
      <c r="D528" s="31">
        <v>11</v>
      </c>
      <c r="E528" s="31">
        <v>9</v>
      </c>
      <c r="F528" s="31">
        <v>9</v>
      </c>
      <c r="G528" s="31">
        <v>3</v>
      </c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29">
        <f>YEAR(Tabla2[[#This Row],[Fecha]])</f>
        <v>2025</v>
      </c>
    </row>
    <row r="529" spans="1:19">
      <c r="A529" s="27">
        <v>45666</v>
      </c>
      <c r="B529" s="27" t="s">
        <v>31</v>
      </c>
      <c r="C529" s="30">
        <f>SUM(D529:R529)</f>
        <v>2</v>
      </c>
      <c r="D529" s="31">
        <v>2</v>
      </c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29">
        <f>YEAR(Tabla2[[#This Row],[Fecha]])</f>
        <v>2025</v>
      </c>
    </row>
    <row r="530" spans="1:19">
      <c r="A530" s="27">
        <v>45667</v>
      </c>
      <c r="B530" s="27" t="s">
        <v>53</v>
      </c>
      <c r="C530" s="30">
        <f>SUM(D530:R530)</f>
        <v>30</v>
      </c>
      <c r="D530" s="31">
        <v>6</v>
      </c>
      <c r="E530" s="31">
        <v>5</v>
      </c>
      <c r="F530" s="31">
        <v>8</v>
      </c>
      <c r="G530" s="31">
        <v>9</v>
      </c>
      <c r="H530" s="31">
        <v>2</v>
      </c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29">
        <f>YEAR(Tabla2[[#This Row],[Fecha]])</f>
        <v>2025</v>
      </c>
    </row>
    <row r="531" spans="1:19">
      <c r="A531" s="27">
        <v>45667</v>
      </c>
      <c r="B531" s="27" t="s">
        <v>34</v>
      </c>
      <c r="C531" s="30">
        <f>SUM(D531:R531)</f>
        <v>37</v>
      </c>
      <c r="D531" s="31">
        <v>5</v>
      </c>
      <c r="E531" s="31">
        <v>12</v>
      </c>
      <c r="F531" s="31">
        <v>4</v>
      </c>
      <c r="G531" s="31">
        <v>8</v>
      </c>
      <c r="H531" s="31">
        <v>8</v>
      </c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29">
        <f>YEAR(Tabla2[[#This Row],[Fecha]])</f>
        <v>2025</v>
      </c>
    </row>
    <row r="532" spans="1:19">
      <c r="A532" s="27">
        <v>45668</v>
      </c>
      <c r="B532" s="27" t="s">
        <v>53</v>
      </c>
      <c r="C532" s="30">
        <f>SUM(D532:R532)</f>
        <v>31</v>
      </c>
      <c r="D532" s="31">
        <v>7</v>
      </c>
      <c r="E532" s="31">
        <v>2</v>
      </c>
      <c r="F532" s="31">
        <v>12</v>
      </c>
      <c r="G532" s="31">
        <v>2</v>
      </c>
      <c r="H532" s="31">
        <v>8</v>
      </c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29">
        <f>YEAR(Tabla2[[#This Row],[Fecha]])</f>
        <v>2025</v>
      </c>
    </row>
    <row r="533" spans="1:19">
      <c r="A533" s="27">
        <v>45668</v>
      </c>
      <c r="B533" s="27" t="s">
        <v>34</v>
      </c>
      <c r="C533" s="30">
        <f>SUM(D533:R533)</f>
        <v>35</v>
      </c>
      <c r="D533" s="31">
        <v>6</v>
      </c>
      <c r="E533" s="31">
        <v>7</v>
      </c>
      <c r="F533" s="31">
        <v>11</v>
      </c>
      <c r="G533" s="31">
        <v>11</v>
      </c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29">
        <f>YEAR(Tabla2[[#This Row],[Fecha]])</f>
        <v>2025</v>
      </c>
    </row>
    <row r="534" spans="1:19">
      <c r="A534" s="27">
        <v>45669</v>
      </c>
      <c r="B534" s="27" t="s">
        <v>53</v>
      </c>
      <c r="C534" s="30">
        <f>SUM(D534:R534)</f>
        <v>31</v>
      </c>
      <c r="D534" s="31">
        <v>7</v>
      </c>
      <c r="E534" s="31">
        <v>2</v>
      </c>
      <c r="F534" s="31">
        <v>10</v>
      </c>
      <c r="G534" s="31">
        <v>5</v>
      </c>
      <c r="H534" s="31">
        <v>7</v>
      </c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29">
        <f>YEAR(Tabla2[[#This Row],[Fecha]])</f>
        <v>2025</v>
      </c>
    </row>
    <row r="535" spans="1:19">
      <c r="A535" s="27">
        <v>45669</v>
      </c>
      <c r="B535" s="27" t="s">
        <v>34</v>
      </c>
      <c r="C535" s="30">
        <f>SUM(D535:R535)</f>
        <v>37</v>
      </c>
      <c r="D535" s="31">
        <v>8</v>
      </c>
      <c r="E535" s="31">
        <v>1</v>
      </c>
      <c r="F535" s="31">
        <v>4</v>
      </c>
      <c r="G535" s="31">
        <v>1</v>
      </c>
      <c r="H535" s="31">
        <v>8</v>
      </c>
      <c r="I535" s="31">
        <v>4</v>
      </c>
      <c r="J535" s="31">
        <v>11</v>
      </c>
      <c r="K535" s="31"/>
      <c r="L535" s="31"/>
      <c r="M535" s="31"/>
      <c r="N535" s="31"/>
      <c r="O535" s="31"/>
      <c r="P535" s="31"/>
      <c r="Q535" s="31"/>
      <c r="R535" s="31"/>
      <c r="S535" s="29">
        <f>YEAR(Tabla2[[#This Row],[Fecha]])</f>
        <v>2025</v>
      </c>
    </row>
    <row r="536" spans="1:19">
      <c r="A536" s="27">
        <v>45670</v>
      </c>
      <c r="B536" s="27" t="s">
        <v>53</v>
      </c>
      <c r="C536" s="30">
        <f>SUM(D536:R536)</f>
        <v>37</v>
      </c>
      <c r="D536" s="31">
        <v>7</v>
      </c>
      <c r="E536" s="31">
        <v>4</v>
      </c>
      <c r="F536" s="31">
        <v>9</v>
      </c>
      <c r="G536" s="31">
        <v>7</v>
      </c>
      <c r="H536" s="31">
        <v>10</v>
      </c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29">
        <f>YEAR(Tabla2[[#This Row],[Fecha]])</f>
        <v>2025</v>
      </c>
    </row>
    <row r="537" spans="1:19">
      <c r="A537" s="27">
        <v>45670</v>
      </c>
      <c r="B537" s="27" t="s">
        <v>34</v>
      </c>
      <c r="C537" s="30">
        <f>SUM(D537:R537)</f>
        <v>33</v>
      </c>
      <c r="D537" s="31">
        <v>8</v>
      </c>
      <c r="E537" s="31">
        <v>1</v>
      </c>
      <c r="F537" s="31">
        <v>10</v>
      </c>
      <c r="G537" s="31">
        <v>8</v>
      </c>
      <c r="H537" s="31">
        <v>6</v>
      </c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29">
        <f>YEAR(Tabla2[[#This Row],[Fecha]])</f>
        <v>2025</v>
      </c>
    </row>
    <row r="538" spans="1:19">
      <c r="A538" s="27">
        <v>45671</v>
      </c>
      <c r="B538" s="27" t="s">
        <v>53</v>
      </c>
      <c r="C538" s="30">
        <f>SUM(D538:R538)</f>
        <v>47</v>
      </c>
      <c r="D538" s="31">
        <v>3</v>
      </c>
      <c r="E538" s="31">
        <v>10</v>
      </c>
      <c r="F538" s="31">
        <v>1</v>
      </c>
      <c r="G538" s="31">
        <v>3</v>
      </c>
      <c r="H538" s="31">
        <v>3</v>
      </c>
      <c r="I538" s="31">
        <v>7</v>
      </c>
      <c r="J538" s="31">
        <v>1</v>
      </c>
      <c r="K538" s="31">
        <v>5</v>
      </c>
      <c r="L538" s="31">
        <v>7</v>
      </c>
      <c r="M538" s="31">
        <v>7</v>
      </c>
      <c r="N538" s="31"/>
      <c r="O538" s="31"/>
      <c r="P538" s="31"/>
      <c r="Q538" s="31"/>
      <c r="R538" s="31"/>
      <c r="S538" s="29">
        <f>YEAR(Tabla2[[#This Row],[Fecha]])</f>
        <v>2025</v>
      </c>
    </row>
    <row r="539" spans="1:19">
      <c r="A539" s="27">
        <v>45671</v>
      </c>
      <c r="B539" s="27" t="s">
        <v>31</v>
      </c>
      <c r="C539" s="30">
        <f>SUM(D539:R539)</f>
        <v>29</v>
      </c>
      <c r="D539" s="31">
        <v>4</v>
      </c>
      <c r="E539" s="31">
        <v>13</v>
      </c>
      <c r="F539" s="31">
        <v>12</v>
      </c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29">
        <f>YEAR(Tabla2[[#This Row],[Fecha]])</f>
        <v>2025</v>
      </c>
    </row>
    <row r="540" spans="1:19">
      <c r="A540" s="27">
        <v>45671</v>
      </c>
      <c r="B540" s="27" t="s">
        <v>54</v>
      </c>
      <c r="C540" s="30">
        <f>SUM(D540:R540)</f>
        <v>19</v>
      </c>
      <c r="D540" s="31">
        <v>2</v>
      </c>
      <c r="E540" s="31">
        <v>2</v>
      </c>
      <c r="F540" s="31">
        <v>3</v>
      </c>
      <c r="G540" s="31">
        <v>1</v>
      </c>
      <c r="H540" s="31">
        <v>2</v>
      </c>
      <c r="I540" s="31">
        <v>1</v>
      </c>
      <c r="J540" s="31">
        <v>1</v>
      </c>
      <c r="K540" s="31">
        <v>1</v>
      </c>
      <c r="L540" s="31">
        <v>2</v>
      </c>
      <c r="M540" s="31">
        <v>2</v>
      </c>
      <c r="N540" s="31">
        <v>2</v>
      </c>
      <c r="O540" s="31"/>
      <c r="P540" s="31"/>
      <c r="Q540" s="31"/>
      <c r="R540" s="31"/>
      <c r="S540" s="29">
        <f>YEAR(Tabla2[[#This Row],[Fecha]])</f>
        <v>2025</v>
      </c>
    </row>
    <row r="541" spans="1:19">
      <c r="A541" s="27">
        <v>45672</v>
      </c>
      <c r="B541" s="27" t="s">
        <v>53</v>
      </c>
      <c r="C541" s="30">
        <f>SUM(D541:R541)</f>
        <v>37</v>
      </c>
      <c r="D541" s="31">
        <v>4</v>
      </c>
      <c r="E541" s="31">
        <v>7</v>
      </c>
      <c r="F541" s="31">
        <v>4</v>
      </c>
      <c r="G541" s="31">
        <v>7</v>
      </c>
      <c r="H541" s="31">
        <v>6</v>
      </c>
      <c r="I541" s="31">
        <v>9</v>
      </c>
      <c r="J541" s="31"/>
      <c r="K541" s="31"/>
      <c r="L541" s="31"/>
      <c r="M541" s="31"/>
      <c r="N541" s="31"/>
      <c r="O541" s="31"/>
      <c r="P541" s="31"/>
      <c r="Q541" s="31"/>
      <c r="R541" s="31"/>
      <c r="S541" s="29">
        <f>YEAR(Tabla2[[#This Row],[Fecha]])</f>
        <v>2025</v>
      </c>
    </row>
    <row r="542" spans="1:19">
      <c r="A542" s="27">
        <v>45672</v>
      </c>
      <c r="B542" s="27" t="s">
        <v>54</v>
      </c>
      <c r="C542" s="30">
        <f>SUM(D542:R542)</f>
        <v>24</v>
      </c>
      <c r="D542" s="31">
        <v>4</v>
      </c>
      <c r="E542" s="31">
        <v>6</v>
      </c>
      <c r="F542" s="31">
        <v>14</v>
      </c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29">
        <f>YEAR(Tabla2[[#This Row],[Fecha]])</f>
        <v>2025</v>
      </c>
    </row>
    <row r="543" spans="1:19">
      <c r="A543" s="27">
        <v>45673</v>
      </c>
      <c r="B543" s="27" t="s">
        <v>53</v>
      </c>
      <c r="C543" s="30">
        <f>SUM(D543:R543)</f>
        <v>34</v>
      </c>
      <c r="D543" s="31">
        <v>1</v>
      </c>
      <c r="E543" s="31">
        <v>2</v>
      </c>
      <c r="F543" s="31">
        <v>8</v>
      </c>
      <c r="G543" s="31">
        <v>3</v>
      </c>
      <c r="H543" s="31">
        <v>3</v>
      </c>
      <c r="I543" s="31">
        <v>11</v>
      </c>
      <c r="J543" s="31">
        <v>6</v>
      </c>
      <c r="K543" s="31"/>
      <c r="L543" s="31"/>
      <c r="M543" s="31"/>
      <c r="N543" s="31"/>
      <c r="O543" s="31"/>
      <c r="P543" s="31"/>
      <c r="Q543" s="31"/>
      <c r="R543" s="31"/>
      <c r="S543" s="29">
        <f>YEAR(Tabla2[[#This Row],[Fecha]])</f>
        <v>2025</v>
      </c>
    </row>
    <row r="544" spans="1:19">
      <c r="A544" s="27">
        <v>45673</v>
      </c>
      <c r="B544" s="27" t="s">
        <v>54</v>
      </c>
      <c r="C544" s="30">
        <f>SUM(D544:R544)</f>
        <v>43</v>
      </c>
      <c r="D544" s="31">
        <v>11</v>
      </c>
      <c r="E544" s="31">
        <v>10</v>
      </c>
      <c r="F544" s="31">
        <v>22</v>
      </c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29">
        <f>YEAR(Tabla2[[#This Row],[Fecha]])</f>
        <v>2025</v>
      </c>
    </row>
    <row r="545" spans="1:19">
      <c r="A545" s="27">
        <v>45674</v>
      </c>
      <c r="B545" s="27" t="s">
        <v>54</v>
      </c>
      <c r="C545" s="30">
        <f>SUM(D545:R545)</f>
        <v>32</v>
      </c>
      <c r="D545" s="31">
        <v>32</v>
      </c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29">
        <f>YEAR(Tabla2[[#This Row],[Fecha]])</f>
        <v>2025</v>
      </c>
    </row>
    <row r="546" spans="1:19">
      <c r="A546" s="27">
        <v>45674</v>
      </c>
      <c r="B546" s="27" t="s">
        <v>53</v>
      </c>
      <c r="C546" s="30">
        <f>SUM(D546:R546)</f>
        <v>42</v>
      </c>
      <c r="D546" s="31">
        <v>1</v>
      </c>
      <c r="E546" s="31">
        <v>9</v>
      </c>
      <c r="F546" s="31">
        <v>2</v>
      </c>
      <c r="G546" s="31">
        <v>2</v>
      </c>
      <c r="H546" s="31">
        <v>9</v>
      </c>
      <c r="I546" s="31">
        <v>2</v>
      </c>
      <c r="J546" s="31">
        <v>13</v>
      </c>
      <c r="K546" s="31">
        <v>4</v>
      </c>
      <c r="L546" s="31"/>
      <c r="M546" s="31"/>
      <c r="N546" s="31"/>
      <c r="O546" s="31"/>
      <c r="P546" s="31"/>
      <c r="Q546" s="31"/>
      <c r="R546" s="31"/>
      <c r="S546" s="29">
        <f>YEAR(Tabla2[[#This Row],[Fecha]])</f>
        <v>2025</v>
      </c>
    </row>
    <row r="547" spans="1:19">
      <c r="A547" s="27">
        <v>45675</v>
      </c>
      <c r="B547" s="27" t="s">
        <v>55</v>
      </c>
      <c r="C547" s="30">
        <f>SUM(D547:R547)</f>
        <v>25</v>
      </c>
      <c r="D547" s="31">
        <v>25</v>
      </c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29">
        <f>YEAR(Tabla2[[#This Row],[Fecha]])</f>
        <v>2025</v>
      </c>
    </row>
    <row r="548" spans="1:19">
      <c r="A548" s="27">
        <v>45675</v>
      </c>
      <c r="B548" s="27" t="s">
        <v>53</v>
      </c>
      <c r="C548" s="30">
        <f>SUM(D548:R548)</f>
        <v>13</v>
      </c>
      <c r="D548" s="31">
        <v>4</v>
      </c>
      <c r="E548" s="31">
        <v>5</v>
      </c>
      <c r="F548" s="31">
        <v>4</v>
      </c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29">
        <f>YEAR(Tabla2[[#This Row],[Fecha]])</f>
        <v>2025</v>
      </c>
    </row>
    <row r="549" spans="1:19">
      <c r="A549" s="27">
        <v>45676</v>
      </c>
      <c r="B549" s="27" t="s">
        <v>54</v>
      </c>
      <c r="C549" s="30">
        <f>SUM(D549:R549)</f>
        <v>27</v>
      </c>
      <c r="D549" s="31">
        <v>27</v>
      </c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29">
        <f>YEAR(Tabla2[[#This Row],[Fecha]])</f>
        <v>2025</v>
      </c>
    </row>
    <row r="550" spans="1:19">
      <c r="A550" s="27">
        <v>45676</v>
      </c>
      <c r="B550" s="27" t="s">
        <v>53</v>
      </c>
      <c r="C550" s="30">
        <f>SUM(D550:R550)</f>
        <v>41</v>
      </c>
      <c r="D550" s="31">
        <v>8</v>
      </c>
      <c r="E550" s="31">
        <v>6</v>
      </c>
      <c r="F550" s="31">
        <v>8</v>
      </c>
      <c r="G550" s="31">
        <v>9</v>
      </c>
      <c r="H550" s="31">
        <v>10</v>
      </c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29">
        <f>YEAR(Tabla2[[#This Row],[Fecha]])</f>
        <v>2025</v>
      </c>
    </row>
    <row r="551" spans="1:19">
      <c r="A551" s="27">
        <v>45677</v>
      </c>
      <c r="B551" s="27" t="s">
        <v>53</v>
      </c>
      <c r="C551" s="30">
        <f>SUM(D551:R551)</f>
        <v>42</v>
      </c>
      <c r="D551" s="31">
        <v>2</v>
      </c>
      <c r="E551" s="31">
        <v>7</v>
      </c>
      <c r="F551" s="31">
        <v>7</v>
      </c>
      <c r="G551" s="31">
        <v>5</v>
      </c>
      <c r="H551" s="31">
        <v>7</v>
      </c>
      <c r="I551" s="31">
        <v>3</v>
      </c>
      <c r="J551" s="31">
        <v>11</v>
      </c>
      <c r="K551" s="31"/>
      <c r="L551" s="31"/>
      <c r="M551" s="31"/>
      <c r="N551" s="31"/>
      <c r="O551" s="31"/>
      <c r="P551" s="31"/>
      <c r="Q551" s="31"/>
      <c r="R551" s="31"/>
      <c r="S551" s="29">
        <f>YEAR(Tabla2[[#This Row],[Fecha]])</f>
        <v>2025</v>
      </c>
    </row>
    <row r="552" spans="1:19">
      <c r="A552" s="27">
        <v>45678</v>
      </c>
      <c r="B552" s="27" t="s">
        <v>53</v>
      </c>
      <c r="C552" s="30">
        <f>SUM(D552:R552)</f>
        <v>56</v>
      </c>
      <c r="D552" s="31">
        <v>10</v>
      </c>
      <c r="E552" s="31">
        <v>9</v>
      </c>
      <c r="F552" s="31">
        <v>3</v>
      </c>
      <c r="G552" s="31">
        <v>7</v>
      </c>
      <c r="H552" s="31">
        <v>3</v>
      </c>
      <c r="I552" s="31">
        <v>9</v>
      </c>
      <c r="J552" s="31">
        <v>7</v>
      </c>
      <c r="K552" s="31">
        <v>8</v>
      </c>
      <c r="L552" s="31"/>
      <c r="M552" s="31"/>
      <c r="N552" s="31"/>
      <c r="O552" s="31"/>
      <c r="P552" s="31"/>
      <c r="Q552" s="31"/>
      <c r="R552" s="31"/>
      <c r="S552" s="29">
        <f>YEAR(Tabla2[[#This Row],[Fecha]])</f>
        <v>2025</v>
      </c>
    </row>
    <row r="553" spans="1:19">
      <c r="A553" s="27">
        <v>45678</v>
      </c>
      <c r="B553" s="27" t="s">
        <v>54</v>
      </c>
      <c r="C553" s="30">
        <f>SUM(D553:R553)</f>
        <v>30</v>
      </c>
      <c r="D553" s="31">
        <v>30</v>
      </c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29">
        <f>YEAR(Tabla2[[#This Row],[Fecha]])</f>
        <v>2025</v>
      </c>
    </row>
    <row r="554" spans="1:19">
      <c r="A554" s="27">
        <v>45679</v>
      </c>
      <c r="B554" s="27" t="s">
        <v>54</v>
      </c>
      <c r="C554" s="30">
        <f>SUM(D554:R554)</f>
        <v>35</v>
      </c>
      <c r="D554" s="31">
        <v>19</v>
      </c>
      <c r="E554" s="31">
        <v>16</v>
      </c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29">
        <f>YEAR(Tabla2[[#This Row],[Fecha]])</f>
        <v>2025</v>
      </c>
    </row>
    <row r="555" spans="1:19">
      <c r="A555" s="27">
        <v>45679</v>
      </c>
      <c r="B555" s="27" t="s">
        <v>47</v>
      </c>
      <c r="C555" s="30">
        <f>SUM(D555:R555)</f>
        <v>3</v>
      </c>
      <c r="D555" s="31">
        <v>3</v>
      </c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29">
        <f>YEAR(Tabla2[[#This Row],[Fecha]])</f>
        <v>2025</v>
      </c>
    </row>
    <row r="556" spans="1:19">
      <c r="A556" s="27">
        <v>45679</v>
      </c>
      <c r="B556" s="27" t="s">
        <v>53</v>
      </c>
      <c r="C556" s="30">
        <f>SUM(D556:R556)</f>
        <v>37</v>
      </c>
      <c r="D556" s="31">
        <v>5</v>
      </c>
      <c r="E556" s="31">
        <v>11</v>
      </c>
      <c r="F556" s="31">
        <v>6</v>
      </c>
      <c r="G556" s="31">
        <v>8</v>
      </c>
      <c r="H556" s="31">
        <v>7</v>
      </c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29">
        <f>YEAR(Tabla2[[#This Row],[Fecha]])</f>
        <v>2025</v>
      </c>
    </row>
    <row r="557" spans="1:19">
      <c r="A557" s="27">
        <v>45679</v>
      </c>
      <c r="B557" s="27" t="s">
        <v>22</v>
      </c>
      <c r="C557" s="30">
        <f>SUM(D557:R557)</f>
        <v>15</v>
      </c>
      <c r="D557" s="31">
        <v>9</v>
      </c>
      <c r="E557" s="31">
        <v>6</v>
      </c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29">
        <f>YEAR(Tabla2[[#This Row],[Fecha]])</f>
        <v>2025</v>
      </c>
    </row>
    <row r="558" spans="1:19">
      <c r="A558" s="27">
        <v>45680</v>
      </c>
      <c r="B558" s="27" t="s">
        <v>53</v>
      </c>
      <c r="C558" s="30">
        <f>SUM(D558:R558)</f>
        <v>46</v>
      </c>
      <c r="D558" s="31">
        <v>8</v>
      </c>
      <c r="E558" s="31">
        <v>3</v>
      </c>
      <c r="F558" s="31">
        <v>12</v>
      </c>
      <c r="G558" s="31">
        <v>7</v>
      </c>
      <c r="H558" s="31">
        <v>3</v>
      </c>
      <c r="I558" s="31">
        <v>8</v>
      </c>
      <c r="J558" s="31">
        <v>5</v>
      </c>
      <c r="K558" s="31"/>
      <c r="L558" s="31"/>
      <c r="M558" s="31"/>
      <c r="N558" s="31"/>
      <c r="O558" s="31"/>
      <c r="P558" s="31"/>
      <c r="Q558" s="31"/>
      <c r="R558" s="31"/>
      <c r="S558" s="29">
        <f>YEAR(Tabla2[[#This Row],[Fecha]])</f>
        <v>2025</v>
      </c>
    </row>
    <row r="559" spans="1:19">
      <c r="A559" s="27">
        <v>45680</v>
      </c>
      <c r="B559" s="27" t="s">
        <v>54</v>
      </c>
      <c r="C559" s="30">
        <f>SUM(D559:R559)</f>
        <v>50</v>
      </c>
      <c r="D559" s="31">
        <v>25</v>
      </c>
      <c r="E559" s="31">
        <v>25</v>
      </c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29">
        <f>YEAR(Tabla2[[#This Row],[Fecha]])</f>
        <v>2025</v>
      </c>
    </row>
    <row r="560" spans="1:19">
      <c r="A560" s="27">
        <v>45681</v>
      </c>
      <c r="B560" s="27" t="s">
        <v>53</v>
      </c>
      <c r="C560" s="30">
        <f>SUM(D560:R560)</f>
        <v>33</v>
      </c>
      <c r="D560" s="31">
        <v>6</v>
      </c>
      <c r="E560" s="31">
        <v>5</v>
      </c>
      <c r="F560" s="31">
        <v>3</v>
      </c>
      <c r="G560" s="31">
        <v>9</v>
      </c>
      <c r="H560" s="31">
        <v>6</v>
      </c>
      <c r="I560" s="31">
        <v>4</v>
      </c>
      <c r="J560" s="31"/>
      <c r="K560" s="31"/>
      <c r="L560" s="31"/>
      <c r="M560" s="31"/>
      <c r="N560" s="31"/>
      <c r="O560" s="31"/>
      <c r="P560" s="31"/>
      <c r="Q560" s="31"/>
      <c r="R560" s="31"/>
      <c r="S560" s="29">
        <f>YEAR(Tabla2[[#This Row],[Fecha]])</f>
        <v>2025</v>
      </c>
    </row>
    <row r="561" spans="1:19">
      <c r="A561" s="27">
        <v>45681</v>
      </c>
      <c r="B561" s="27" t="s">
        <v>54</v>
      </c>
      <c r="C561" s="30">
        <f>SUM(D561:R561)</f>
        <v>78</v>
      </c>
      <c r="D561" s="31">
        <v>50</v>
      </c>
      <c r="E561" s="31">
        <v>28</v>
      </c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29">
        <f>YEAR(Tabla2[[#This Row],[Fecha]])</f>
        <v>2025</v>
      </c>
    </row>
    <row r="562" spans="1:19">
      <c r="A562" s="27">
        <v>45682</v>
      </c>
      <c r="B562" s="27" t="s">
        <v>22</v>
      </c>
      <c r="C562" s="30">
        <f>SUM(D562:R562)</f>
        <v>9</v>
      </c>
      <c r="D562" s="31">
        <v>9</v>
      </c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29">
        <f>YEAR(Tabla2[[#This Row],[Fecha]])</f>
        <v>2025</v>
      </c>
    </row>
    <row r="563" spans="1:19">
      <c r="A563" s="27">
        <v>45684</v>
      </c>
      <c r="B563" s="27" t="s">
        <v>53</v>
      </c>
      <c r="C563" s="30">
        <f>SUM(D563:R563)</f>
        <v>49</v>
      </c>
      <c r="D563" s="31">
        <v>4</v>
      </c>
      <c r="E563" s="31">
        <v>2</v>
      </c>
      <c r="F563" s="31">
        <v>8</v>
      </c>
      <c r="G563" s="31">
        <v>2</v>
      </c>
      <c r="H563" s="31">
        <v>13</v>
      </c>
      <c r="I563" s="31">
        <v>1</v>
      </c>
      <c r="J563" s="31">
        <v>7</v>
      </c>
      <c r="K563" s="31">
        <v>4</v>
      </c>
      <c r="L563" s="31">
        <v>3</v>
      </c>
      <c r="M563" s="31">
        <v>5</v>
      </c>
      <c r="N563" s="31"/>
      <c r="O563" s="31"/>
      <c r="P563" s="31"/>
      <c r="Q563" s="31"/>
      <c r="R563" s="31"/>
      <c r="S563" s="29">
        <f>YEAR(Tabla2[[#This Row],[Fecha]])</f>
        <v>2025</v>
      </c>
    </row>
    <row r="564" spans="1:19">
      <c r="A564" s="27">
        <v>45684</v>
      </c>
      <c r="B564" s="27" t="s">
        <v>56</v>
      </c>
      <c r="C564" s="30">
        <f>SUM(D564:R564)</f>
        <v>32</v>
      </c>
      <c r="D564" s="31">
        <v>2</v>
      </c>
      <c r="E564" s="31">
        <v>2</v>
      </c>
      <c r="F564" s="31">
        <v>6</v>
      </c>
      <c r="G564" s="31">
        <v>10</v>
      </c>
      <c r="H564" s="31">
        <v>5</v>
      </c>
      <c r="I564" s="31">
        <v>7</v>
      </c>
      <c r="J564" s="31"/>
      <c r="K564" s="31"/>
      <c r="L564" s="31"/>
      <c r="M564" s="31"/>
      <c r="N564" s="31"/>
      <c r="O564" s="31"/>
      <c r="P564" s="31"/>
      <c r="Q564" s="31"/>
      <c r="R564" s="31"/>
      <c r="S564" s="29">
        <f>YEAR(Tabla2[[#This Row],[Fecha]])</f>
        <v>2025</v>
      </c>
    </row>
    <row r="565" spans="1:19">
      <c r="A565" s="27">
        <v>45685</v>
      </c>
      <c r="B565" s="27" t="s">
        <v>56</v>
      </c>
      <c r="C565" s="30">
        <f>SUM(D565:R565)</f>
        <v>80</v>
      </c>
      <c r="D565" s="31">
        <v>4</v>
      </c>
      <c r="E565" s="31">
        <v>6</v>
      </c>
      <c r="F565" s="31">
        <v>10</v>
      </c>
      <c r="G565" s="31">
        <v>5</v>
      </c>
      <c r="H565" s="31">
        <v>5</v>
      </c>
      <c r="I565" s="31">
        <v>10</v>
      </c>
      <c r="J565" s="31">
        <v>11</v>
      </c>
      <c r="K565" s="31">
        <v>8</v>
      </c>
      <c r="L565" s="31">
        <v>10</v>
      </c>
      <c r="M565" s="31">
        <v>11</v>
      </c>
      <c r="N565" s="31"/>
      <c r="O565" s="31"/>
      <c r="P565" s="31"/>
      <c r="Q565" s="31"/>
      <c r="R565" s="31"/>
      <c r="S565" s="29">
        <f>YEAR(Tabla2[[#This Row],[Fecha]])</f>
        <v>2025</v>
      </c>
    </row>
    <row r="566" spans="1:19">
      <c r="A566" s="27">
        <v>45685</v>
      </c>
      <c r="B566" s="27" t="s">
        <v>57</v>
      </c>
      <c r="C566" s="30">
        <f>SUM(D566:R566)</f>
        <v>10</v>
      </c>
      <c r="D566" s="31">
        <v>3</v>
      </c>
      <c r="E566" s="31">
        <v>5</v>
      </c>
      <c r="F566" s="31">
        <v>2</v>
      </c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29">
        <f>YEAR(Tabla2[[#This Row],[Fecha]])</f>
        <v>2025</v>
      </c>
    </row>
    <row r="567" spans="1:19">
      <c r="A567" s="27">
        <v>45685</v>
      </c>
      <c r="B567" s="27" t="s">
        <v>22</v>
      </c>
      <c r="C567" s="30">
        <f>SUM(D567:R567)</f>
        <v>38</v>
      </c>
      <c r="D567" s="31">
        <v>13</v>
      </c>
      <c r="E567" s="31">
        <v>12</v>
      </c>
      <c r="F567" s="31">
        <v>13</v>
      </c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29">
        <f>YEAR(Tabla2[[#This Row],[Fecha]])</f>
        <v>2025</v>
      </c>
    </row>
    <row r="568" spans="1:19">
      <c r="A568" s="27">
        <v>45686</v>
      </c>
      <c r="B568" s="27" t="s">
        <v>54</v>
      </c>
      <c r="C568" s="30">
        <f>SUM(D568:R568)</f>
        <v>20</v>
      </c>
      <c r="D568" s="31">
        <v>1</v>
      </c>
      <c r="E568" s="31">
        <v>19</v>
      </c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29">
        <f>YEAR(Tabla2[[#This Row],[Fecha]])</f>
        <v>2025</v>
      </c>
    </row>
    <row r="569" spans="1:19">
      <c r="A569" s="27">
        <v>45686</v>
      </c>
      <c r="B569" s="27" t="s">
        <v>56</v>
      </c>
      <c r="C569" s="30">
        <f>SUM(D569:R569)</f>
        <v>36</v>
      </c>
      <c r="D569" s="31">
        <v>11</v>
      </c>
      <c r="E569" s="31">
        <v>8</v>
      </c>
      <c r="F569" s="31">
        <v>9</v>
      </c>
      <c r="G569" s="31">
        <v>8</v>
      </c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29">
        <f>YEAR(Tabla2[[#This Row],[Fecha]])</f>
        <v>2025</v>
      </c>
    </row>
    <row r="570" spans="1:19">
      <c r="A570" s="27">
        <v>45687</v>
      </c>
      <c r="B570" s="27" t="s">
        <v>56</v>
      </c>
      <c r="C570" s="30">
        <f>SUM(D570:R570)</f>
        <v>46</v>
      </c>
      <c r="D570" s="31">
        <v>8</v>
      </c>
      <c r="E570" s="31">
        <v>6</v>
      </c>
      <c r="F570" s="31">
        <v>10</v>
      </c>
      <c r="G570" s="31">
        <v>4</v>
      </c>
      <c r="H570" s="31">
        <v>7</v>
      </c>
      <c r="I570" s="31">
        <v>5</v>
      </c>
      <c r="J570" s="31">
        <v>6</v>
      </c>
      <c r="K570" s="31"/>
      <c r="L570" s="31"/>
      <c r="M570" s="31"/>
      <c r="N570" s="31"/>
      <c r="O570" s="31"/>
      <c r="P570" s="31"/>
      <c r="Q570" s="31"/>
      <c r="R570" s="31"/>
      <c r="S570" s="29">
        <f>YEAR(Tabla2[[#This Row],[Fecha]])</f>
        <v>2025</v>
      </c>
    </row>
    <row r="571" spans="1:19">
      <c r="A571" s="27">
        <v>45687</v>
      </c>
      <c r="B571" s="27" t="s">
        <v>54</v>
      </c>
      <c r="C571" s="30">
        <f>SUM(D571:R571)</f>
        <v>17</v>
      </c>
      <c r="D571" s="31">
        <v>17</v>
      </c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29">
        <f>YEAR(Tabla2[[#This Row],[Fecha]])</f>
        <v>2025</v>
      </c>
    </row>
    <row r="572" spans="1:19">
      <c r="A572" s="27">
        <v>45688</v>
      </c>
      <c r="B572" s="27" t="s">
        <v>56</v>
      </c>
      <c r="C572" s="30">
        <f>SUM(D572:R572)</f>
        <v>33</v>
      </c>
      <c r="D572" s="31">
        <v>8</v>
      </c>
      <c r="E572" s="31">
        <v>12</v>
      </c>
      <c r="F572" s="31">
        <v>13</v>
      </c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29">
        <f>YEAR(Tabla2[[#This Row],[Fecha]])</f>
        <v>2025</v>
      </c>
    </row>
    <row r="573" spans="1:25">
      <c r="A573" s="27">
        <v>45688</v>
      </c>
      <c r="B573" s="27" t="s">
        <v>54</v>
      </c>
      <c r="C573" s="30">
        <f>SUM(D573:R573)</f>
        <v>21</v>
      </c>
      <c r="D573" s="31">
        <v>19</v>
      </c>
      <c r="E573" s="31">
        <v>1</v>
      </c>
      <c r="F573" s="31">
        <v>1</v>
      </c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29">
        <f>YEAR(Tabla2[[#This Row],[Fecha]])</f>
        <v>2025</v>
      </c>
      <c r="Y573">
        <v>327.87</v>
      </c>
    </row>
    <row r="574" spans="1:25">
      <c r="A574" s="27">
        <v>45688</v>
      </c>
      <c r="B574" s="27" t="s">
        <v>58</v>
      </c>
      <c r="C574" s="30">
        <f>SUM(D574:R574)</f>
        <v>9</v>
      </c>
      <c r="D574" s="31">
        <v>9</v>
      </c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29">
        <f>YEAR(Tabla2[[#This Row],[Fecha]])</f>
        <v>2025</v>
      </c>
      <c r="Y574">
        <v>483.8</v>
      </c>
    </row>
    <row r="575" spans="1:25">
      <c r="A575" s="27">
        <v>45689</v>
      </c>
      <c r="B575" s="27" t="s">
        <v>54</v>
      </c>
      <c r="C575" s="30">
        <f>SUM(D575:R575)</f>
        <v>33</v>
      </c>
      <c r="D575" s="31">
        <v>33</v>
      </c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29">
        <f>YEAR(Tabla2[[#This Row],[Fecha]])</f>
        <v>2025</v>
      </c>
      <c r="Y575">
        <f>+Y574-Y573</f>
        <v>155.93</v>
      </c>
    </row>
    <row r="576" spans="1:19">
      <c r="A576" s="27">
        <v>45689</v>
      </c>
      <c r="B576" s="27" t="s">
        <v>56</v>
      </c>
      <c r="C576" s="30">
        <f>SUM(D576:R576)</f>
        <v>17</v>
      </c>
      <c r="D576" s="31">
        <v>8</v>
      </c>
      <c r="E576" s="31">
        <v>9</v>
      </c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29">
        <f>YEAR(Tabla2[[#This Row],[Fecha]])</f>
        <v>2025</v>
      </c>
    </row>
    <row r="577" spans="1:19">
      <c r="A577" s="27">
        <v>45690</v>
      </c>
      <c r="B577" s="27" t="s">
        <v>54</v>
      </c>
      <c r="C577" s="30">
        <f>SUM(D577:R577)</f>
        <v>19</v>
      </c>
      <c r="D577" s="31">
        <v>10</v>
      </c>
      <c r="E577" s="31">
        <v>1</v>
      </c>
      <c r="F577" s="31">
        <v>1</v>
      </c>
      <c r="G577" s="31">
        <v>7</v>
      </c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29">
        <f>YEAR(Tabla2[[#This Row],[Fecha]])</f>
        <v>2025</v>
      </c>
    </row>
    <row r="578" spans="1:19">
      <c r="A578" s="27">
        <v>45690</v>
      </c>
      <c r="B578" s="27" t="s">
        <v>56</v>
      </c>
      <c r="C578" s="30">
        <f>SUM(D578:R578)</f>
        <v>18</v>
      </c>
      <c r="D578" s="31">
        <v>9</v>
      </c>
      <c r="E578" s="31">
        <v>9</v>
      </c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29">
        <f>YEAR(Tabla2[[#This Row],[Fecha]])</f>
        <v>2025</v>
      </c>
    </row>
    <row r="579" spans="1:19">
      <c r="A579" s="27">
        <v>45691</v>
      </c>
      <c r="B579" s="27" t="s">
        <v>56</v>
      </c>
      <c r="C579" s="30">
        <f>SUM(D579:R579)</f>
        <v>88</v>
      </c>
      <c r="D579" s="31">
        <v>9</v>
      </c>
      <c r="E579" s="31">
        <v>3</v>
      </c>
      <c r="F579" s="31">
        <v>4</v>
      </c>
      <c r="G579" s="31">
        <v>9</v>
      </c>
      <c r="H579" s="31">
        <v>5</v>
      </c>
      <c r="I579" s="31">
        <v>8</v>
      </c>
      <c r="J579" s="31">
        <v>8</v>
      </c>
      <c r="K579" s="31">
        <v>10</v>
      </c>
      <c r="L579" s="31">
        <v>9</v>
      </c>
      <c r="M579" s="31">
        <v>23</v>
      </c>
      <c r="N579" s="31"/>
      <c r="O579" s="31"/>
      <c r="P579" s="31"/>
      <c r="Q579" s="31"/>
      <c r="R579" s="31"/>
      <c r="S579" s="29">
        <f>YEAR(Tabla2[[#This Row],[Fecha]])</f>
        <v>2025</v>
      </c>
    </row>
    <row r="580" spans="1:19">
      <c r="A580" s="27">
        <v>45691</v>
      </c>
      <c r="B580" s="27" t="s">
        <v>54</v>
      </c>
      <c r="C580" s="30">
        <f>SUM(D580:R580)</f>
        <v>16</v>
      </c>
      <c r="D580" s="31">
        <v>16</v>
      </c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29">
        <f>YEAR(Tabla2[[#This Row],[Fecha]])</f>
        <v>2025</v>
      </c>
    </row>
    <row r="581" spans="1:19">
      <c r="A581" s="27">
        <v>45692</v>
      </c>
      <c r="B581" s="27" t="s">
        <v>54</v>
      </c>
      <c r="C581" s="30">
        <f>SUM(D581:R581)</f>
        <v>45</v>
      </c>
      <c r="D581" s="31">
        <v>18</v>
      </c>
      <c r="E581" s="31">
        <v>1</v>
      </c>
      <c r="F581" s="31">
        <v>1</v>
      </c>
      <c r="G581" s="31">
        <v>9</v>
      </c>
      <c r="H581" s="31">
        <v>11</v>
      </c>
      <c r="I581" s="31">
        <v>1</v>
      </c>
      <c r="J581" s="31">
        <v>4</v>
      </c>
      <c r="K581" s="31"/>
      <c r="L581" s="31"/>
      <c r="M581" s="31"/>
      <c r="N581" s="31"/>
      <c r="O581" s="31"/>
      <c r="P581" s="31"/>
      <c r="Q581" s="31"/>
      <c r="R581" s="31"/>
      <c r="S581" s="29">
        <f>YEAR(Tabla2[[#This Row],[Fecha]])</f>
        <v>2025</v>
      </c>
    </row>
    <row r="582" spans="1:19">
      <c r="A582" s="27">
        <v>45693</v>
      </c>
      <c r="B582" s="27" t="s">
        <v>22</v>
      </c>
      <c r="C582" s="30">
        <f>SUM(D582:R582)</f>
        <v>17</v>
      </c>
      <c r="D582" s="31">
        <v>17</v>
      </c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29">
        <f>YEAR(Tabla2[[#This Row],[Fecha]])</f>
        <v>2025</v>
      </c>
    </row>
    <row r="583" spans="1:19">
      <c r="A583" s="27">
        <v>45693</v>
      </c>
      <c r="B583" s="27" t="s">
        <v>56</v>
      </c>
      <c r="C583" s="30">
        <f>SUM(D583:R583)</f>
        <v>8</v>
      </c>
      <c r="D583" s="31">
        <v>8</v>
      </c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29">
        <f>YEAR(Tabla2[[#This Row],[Fecha]])</f>
        <v>2025</v>
      </c>
    </row>
    <row r="584" spans="1:19">
      <c r="A584" s="27">
        <v>45696</v>
      </c>
      <c r="B584" s="27" t="s">
        <v>22</v>
      </c>
      <c r="C584" s="30">
        <f>SUM(D584:R584)</f>
        <v>19</v>
      </c>
      <c r="D584" s="31">
        <v>19</v>
      </c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29">
        <f>YEAR(Tabla2[[#This Row],[Fecha]])</f>
        <v>2025</v>
      </c>
    </row>
    <row r="585" spans="1:19">
      <c r="A585" s="27">
        <v>45696</v>
      </c>
      <c r="B585" s="27" t="s">
        <v>58</v>
      </c>
      <c r="C585" s="30">
        <f>SUM(D585:R585)</f>
        <v>22</v>
      </c>
      <c r="D585" s="31">
        <v>12</v>
      </c>
      <c r="E585" s="31">
        <v>10</v>
      </c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29">
        <f>YEAR(Tabla2[[#This Row],[Fecha]])</f>
        <v>2025</v>
      </c>
    </row>
    <row r="586" spans="1:19">
      <c r="A586" s="27">
        <v>45701</v>
      </c>
      <c r="B586" s="27" t="s">
        <v>56</v>
      </c>
      <c r="C586" s="30">
        <f>SUM(D586:R586)</f>
        <v>31</v>
      </c>
      <c r="D586" s="31">
        <v>31</v>
      </c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29">
        <f>YEAR(Tabla2[[#This Row],[Fecha]])</f>
        <v>2025</v>
      </c>
    </row>
    <row r="587" spans="1:19">
      <c r="A587" s="27">
        <v>45701</v>
      </c>
      <c r="B587" s="27" t="s">
        <v>59</v>
      </c>
      <c r="C587" s="30">
        <f>SUM(D587:R587)</f>
        <v>44</v>
      </c>
      <c r="D587" s="31">
        <v>8</v>
      </c>
      <c r="E587" s="31">
        <v>20</v>
      </c>
      <c r="F587" s="31">
        <v>1</v>
      </c>
      <c r="G587" s="31">
        <v>9</v>
      </c>
      <c r="H587" s="31">
        <v>6</v>
      </c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29">
        <f>YEAR(Tabla2[[#This Row],[Fecha]])</f>
        <v>2025</v>
      </c>
    </row>
    <row r="588" spans="1:19">
      <c r="A588" s="27">
        <v>45702</v>
      </c>
      <c r="B588" s="27" t="s">
        <v>58</v>
      </c>
      <c r="C588" s="30">
        <f>SUM(D588:R588)</f>
        <v>12</v>
      </c>
      <c r="D588" s="31">
        <v>12</v>
      </c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29">
        <f>YEAR(Tabla2[[#This Row],[Fecha]])</f>
        <v>2025</v>
      </c>
    </row>
    <row r="589" spans="1:19">
      <c r="A589" s="27">
        <v>45702</v>
      </c>
      <c r="B589" s="27" t="s">
        <v>56</v>
      </c>
      <c r="C589" s="30">
        <f>SUM(D589:R589)</f>
        <v>24</v>
      </c>
      <c r="D589" s="31">
        <v>24</v>
      </c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29">
        <f>YEAR(Tabla2[[#This Row],[Fecha]])</f>
        <v>2025</v>
      </c>
    </row>
    <row r="590" spans="1:19">
      <c r="A590" s="27">
        <v>45702</v>
      </c>
      <c r="B590" s="27" t="s">
        <v>59</v>
      </c>
      <c r="C590" s="30">
        <f>SUM(D590:R590)</f>
        <v>52</v>
      </c>
      <c r="D590" s="31">
        <v>17</v>
      </c>
      <c r="E590" s="31">
        <v>9</v>
      </c>
      <c r="F590" s="31">
        <v>11</v>
      </c>
      <c r="G590" s="31">
        <v>15</v>
      </c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29">
        <f>YEAR(Tabla2[[#This Row],[Fecha]])</f>
        <v>2025</v>
      </c>
    </row>
    <row r="591" spans="1:19">
      <c r="A591" s="27">
        <v>45703</v>
      </c>
      <c r="B591" s="27" t="s">
        <v>58</v>
      </c>
      <c r="C591" s="30">
        <f>SUM(D591:R591)</f>
        <v>14</v>
      </c>
      <c r="D591" s="31">
        <v>14</v>
      </c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29">
        <f>YEAR(Tabla2[[#This Row],[Fecha]])</f>
        <v>2025</v>
      </c>
    </row>
    <row r="592" spans="1:19">
      <c r="A592" s="27">
        <v>45703</v>
      </c>
      <c r="B592" s="27" t="s">
        <v>56</v>
      </c>
      <c r="C592" s="30">
        <f>SUM(D592:R592)</f>
        <v>18</v>
      </c>
      <c r="D592" s="31">
        <v>18</v>
      </c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29">
        <f>YEAR(Tabla2[[#This Row],[Fecha]])</f>
        <v>2025</v>
      </c>
    </row>
    <row r="593" spans="1:19">
      <c r="A593" s="27">
        <v>45703</v>
      </c>
      <c r="B593" s="27" t="s">
        <v>59</v>
      </c>
      <c r="C593" s="30">
        <f>SUM(D593:R593)</f>
        <v>36</v>
      </c>
      <c r="D593" s="31">
        <v>9</v>
      </c>
      <c r="E593" s="31">
        <v>12</v>
      </c>
      <c r="F593" s="31">
        <v>15</v>
      </c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29">
        <f>YEAR(Tabla2[[#This Row],[Fecha]])</f>
        <v>2025</v>
      </c>
    </row>
    <row r="594" spans="1:19">
      <c r="A594" s="27">
        <v>45706</v>
      </c>
      <c r="B594" s="27" t="s">
        <v>58</v>
      </c>
      <c r="C594" s="30">
        <f>SUM(D594:R594)</f>
        <v>9</v>
      </c>
      <c r="D594" s="31">
        <v>9</v>
      </c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29">
        <f>YEAR(Tabla2[[#This Row],[Fecha]])</f>
        <v>2025</v>
      </c>
    </row>
    <row r="595" spans="1:19">
      <c r="A595" s="27">
        <v>45706</v>
      </c>
      <c r="B595" s="27" t="s">
        <v>56</v>
      </c>
      <c r="C595" s="30">
        <f>SUM(D595:R595)</f>
        <v>17</v>
      </c>
      <c r="D595" s="31">
        <v>17</v>
      </c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29">
        <f>YEAR(Tabla2[[#This Row],[Fecha]])</f>
        <v>2025</v>
      </c>
    </row>
    <row r="596" spans="1:19">
      <c r="A596" s="27">
        <v>45706</v>
      </c>
      <c r="B596" s="27" t="s">
        <v>59</v>
      </c>
      <c r="C596" s="30">
        <f>SUM(D596:R596)</f>
        <v>31</v>
      </c>
      <c r="D596" s="31">
        <v>15</v>
      </c>
      <c r="E596" s="31">
        <v>16</v>
      </c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29">
        <f>YEAR(Tabla2[[#This Row],[Fecha]])</f>
        <v>2025</v>
      </c>
    </row>
    <row r="597" spans="1:19">
      <c r="A597" s="27">
        <v>45707</v>
      </c>
      <c r="B597" s="27" t="s">
        <v>58</v>
      </c>
      <c r="C597" s="30">
        <f>SUM(D597:R597)</f>
        <v>13</v>
      </c>
      <c r="D597" s="31">
        <v>13</v>
      </c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29">
        <f>YEAR(Tabla2[[#This Row],[Fecha]])</f>
        <v>2025</v>
      </c>
    </row>
    <row r="598" spans="1:19">
      <c r="A598" s="27">
        <v>45707</v>
      </c>
      <c r="B598" s="27" t="s">
        <v>56</v>
      </c>
      <c r="C598" s="30">
        <f>SUM(D598:R598)</f>
        <v>24</v>
      </c>
      <c r="D598" s="31">
        <v>16</v>
      </c>
      <c r="E598" s="31">
        <v>8</v>
      </c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29">
        <f>YEAR(Tabla2[[#This Row],[Fecha]])</f>
        <v>2025</v>
      </c>
    </row>
    <row r="599" spans="1:19">
      <c r="A599" s="27">
        <v>45707</v>
      </c>
      <c r="B599" s="27" t="s">
        <v>59</v>
      </c>
      <c r="C599" s="30">
        <f>SUM(D599:R599)</f>
        <v>42</v>
      </c>
      <c r="D599" s="31">
        <v>16</v>
      </c>
      <c r="E599" s="31">
        <v>9</v>
      </c>
      <c r="F599" s="31">
        <v>17</v>
      </c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29">
        <f>YEAR(Tabla2[[#This Row],[Fecha]])</f>
        <v>2025</v>
      </c>
    </row>
    <row r="600" spans="1:19">
      <c r="A600" s="27">
        <v>45708</v>
      </c>
      <c r="B600" s="27" t="s">
        <v>58</v>
      </c>
      <c r="C600" s="30">
        <f>SUM(D600:R600)</f>
        <v>13</v>
      </c>
      <c r="D600" s="31">
        <v>13</v>
      </c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29">
        <f>YEAR(Tabla2[[#This Row],[Fecha]])</f>
        <v>2025</v>
      </c>
    </row>
    <row r="601" spans="1:19">
      <c r="A601" s="27">
        <v>45708</v>
      </c>
      <c r="B601" s="27" t="s">
        <v>47</v>
      </c>
      <c r="C601" s="30">
        <f>SUM(D601:R601)</f>
        <v>7</v>
      </c>
      <c r="D601" s="31">
        <v>7</v>
      </c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29">
        <f>YEAR(Tabla2[[#This Row],[Fecha]])</f>
        <v>2025</v>
      </c>
    </row>
    <row r="602" spans="1:19">
      <c r="A602" s="27">
        <v>45711</v>
      </c>
      <c r="B602" s="27" t="s">
        <v>22</v>
      </c>
      <c r="C602" s="30">
        <f>SUM(D602:R602)</f>
        <v>43</v>
      </c>
      <c r="D602" s="31">
        <v>25</v>
      </c>
      <c r="E602" s="31">
        <v>18</v>
      </c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29">
        <f>YEAR(Tabla2[[#This Row],[Fecha]])</f>
        <v>2025</v>
      </c>
    </row>
    <row r="603" spans="1:19">
      <c r="A603" s="27">
        <v>45711</v>
      </c>
      <c r="B603" s="27" t="s">
        <v>58</v>
      </c>
      <c r="C603" s="30">
        <f>SUM(D603:R603)</f>
        <v>15</v>
      </c>
      <c r="D603" s="31">
        <v>15</v>
      </c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29">
        <f>YEAR(Tabla2[[#This Row],[Fecha]])</f>
        <v>2025</v>
      </c>
    </row>
    <row r="604" spans="1:19">
      <c r="A604" s="27">
        <v>45712</v>
      </c>
      <c r="B604" s="27" t="s">
        <v>58</v>
      </c>
      <c r="C604" s="30">
        <f>SUM(D604:R604)</f>
        <v>16</v>
      </c>
      <c r="D604" s="31">
        <v>16</v>
      </c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29">
        <f>YEAR(Tabla2[[#This Row],[Fecha]])</f>
        <v>2025</v>
      </c>
    </row>
    <row r="605" spans="1:19">
      <c r="A605" s="27">
        <v>45712</v>
      </c>
      <c r="B605" s="27" t="s">
        <v>56</v>
      </c>
      <c r="C605" s="30">
        <f>SUM(D605:R605)</f>
        <v>17</v>
      </c>
      <c r="D605" s="31">
        <v>17</v>
      </c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29">
        <f>YEAR(Tabla2[[#This Row],[Fecha]])</f>
        <v>2025</v>
      </c>
    </row>
    <row r="606" spans="1:19">
      <c r="A606" s="27">
        <v>45712</v>
      </c>
      <c r="B606" s="27" t="s">
        <v>59</v>
      </c>
      <c r="C606" s="30">
        <f>SUM(D606:R606)</f>
        <v>29</v>
      </c>
      <c r="D606" s="31">
        <v>10</v>
      </c>
      <c r="E606" s="31">
        <v>19</v>
      </c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29">
        <f>YEAR(Tabla2[[#This Row],[Fecha]])</f>
        <v>2025</v>
      </c>
    </row>
    <row r="607" spans="1:19">
      <c r="A607" s="27">
        <v>45713</v>
      </c>
      <c r="B607" s="27" t="s">
        <v>31</v>
      </c>
      <c r="C607" s="30">
        <f>SUM(D607:R607)</f>
        <v>12</v>
      </c>
      <c r="D607" s="31">
        <v>12</v>
      </c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29">
        <f>YEAR(Tabla2[[#This Row],[Fecha]])</f>
        <v>2025</v>
      </c>
    </row>
    <row r="608" spans="1:19">
      <c r="A608" s="27">
        <v>45713</v>
      </c>
      <c r="B608" s="27" t="s">
        <v>58</v>
      </c>
      <c r="C608" s="30">
        <f>SUM(D608:R608)</f>
        <v>16</v>
      </c>
      <c r="D608" s="31">
        <v>1</v>
      </c>
      <c r="E608" s="31">
        <v>1</v>
      </c>
      <c r="F608" s="31">
        <v>14</v>
      </c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29">
        <f>YEAR(Tabla2[[#This Row],[Fecha]])</f>
        <v>2025</v>
      </c>
    </row>
    <row r="609" spans="1:19">
      <c r="A609" s="27">
        <v>45713</v>
      </c>
      <c r="B609" s="27" t="s">
        <v>56</v>
      </c>
      <c r="C609" s="30">
        <f>SUM(D609:R609)</f>
        <v>19</v>
      </c>
      <c r="D609" s="31">
        <v>19</v>
      </c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29">
        <f>YEAR(Tabla2[[#This Row],[Fecha]])</f>
        <v>2025</v>
      </c>
    </row>
    <row r="610" spans="1:19">
      <c r="A610" s="27">
        <v>45721</v>
      </c>
      <c r="B610" s="27" t="s">
        <v>60</v>
      </c>
      <c r="C610" s="30">
        <f>SUM(D610:R610)</f>
        <v>72</v>
      </c>
      <c r="D610" s="31">
        <v>22</v>
      </c>
      <c r="E610" s="31">
        <v>24</v>
      </c>
      <c r="F610" s="31">
        <v>6</v>
      </c>
      <c r="G610" s="31">
        <v>5</v>
      </c>
      <c r="H610" s="31">
        <v>6</v>
      </c>
      <c r="I610" s="31">
        <v>4</v>
      </c>
      <c r="J610" s="31">
        <v>3</v>
      </c>
      <c r="K610" s="31">
        <v>2</v>
      </c>
      <c r="L610" s="31"/>
      <c r="M610" s="31"/>
      <c r="N610" s="31"/>
      <c r="O610" s="31"/>
      <c r="P610" s="31"/>
      <c r="Q610" s="31"/>
      <c r="R610" s="31"/>
      <c r="S610" s="29">
        <f>YEAR(Tabla2[[#This Row],[Fecha]])</f>
        <v>2025</v>
      </c>
    </row>
    <row r="611" spans="1:19">
      <c r="A611" s="27">
        <v>45722</v>
      </c>
      <c r="B611" s="27" t="s">
        <v>60</v>
      </c>
      <c r="C611" s="30">
        <f>SUM(D611:R611)</f>
        <v>34</v>
      </c>
      <c r="D611" s="31">
        <v>3</v>
      </c>
      <c r="E611" s="31">
        <v>2</v>
      </c>
      <c r="F611" s="31">
        <v>10</v>
      </c>
      <c r="G611" s="31">
        <v>11</v>
      </c>
      <c r="H611" s="31">
        <v>8</v>
      </c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29">
        <f>YEAR(Tabla2[[#This Row],[Fecha]])</f>
        <v>2025</v>
      </c>
    </row>
    <row r="612" spans="1:19">
      <c r="A612" s="27">
        <v>45727</v>
      </c>
      <c r="B612" s="27" t="s">
        <v>60</v>
      </c>
      <c r="C612" s="30">
        <f>SUM(D612:R612)</f>
        <v>49</v>
      </c>
      <c r="D612" s="31">
        <v>6</v>
      </c>
      <c r="E612" s="31">
        <v>5</v>
      </c>
      <c r="F612" s="31">
        <v>5</v>
      </c>
      <c r="G612" s="31">
        <v>4</v>
      </c>
      <c r="H612" s="31">
        <v>5</v>
      </c>
      <c r="I612" s="31">
        <v>7</v>
      </c>
      <c r="J612" s="31">
        <v>3</v>
      </c>
      <c r="K612" s="31">
        <v>14</v>
      </c>
      <c r="L612" s="31"/>
      <c r="M612" s="31"/>
      <c r="N612" s="31"/>
      <c r="O612" s="31"/>
      <c r="P612" s="31"/>
      <c r="Q612" s="31"/>
      <c r="R612" s="31"/>
      <c r="S612" s="29">
        <f>YEAR(Tabla2[[#This Row],[Fecha]])</f>
        <v>2025</v>
      </c>
    </row>
    <row r="613" spans="1:19">
      <c r="A613" s="27">
        <v>45727</v>
      </c>
      <c r="B613" s="27" t="s">
        <v>56</v>
      </c>
      <c r="C613" s="30">
        <f>SUM(D613:R613)</f>
        <v>34</v>
      </c>
      <c r="D613" s="31">
        <v>9</v>
      </c>
      <c r="E613" s="31">
        <v>1</v>
      </c>
      <c r="F613" s="31">
        <v>23</v>
      </c>
      <c r="G613" s="31">
        <v>1</v>
      </c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29">
        <f>YEAR(Tabla2[[#This Row],[Fecha]])</f>
        <v>2025</v>
      </c>
    </row>
    <row r="614" spans="1:19">
      <c r="A614" s="27">
        <v>45729</v>
      </c>
      <c r="B614" s="27" t="s">
        <v>60</v>
      </c>
      <c r="C614" s="30">
        <f>SUM(D614:R614)</f>
        <v>36</v>
      </c>
      <c r="D614" s="31">
        <v>3</v>
      </c>
      <c r="E614" s="31">
        <v>6</v>
      </c>
      <c r="F614" s="31">
        <v>2</v>
      </c>
      <c r="G614" s="31">
        <v>6</v>
      </c>
      <c r="H614" s="31">
        <v>3</v>
      </c>
      <c r="I614" s="31">
        <v>5</v>
      </c>
      <c r="J614" s="31">
        <v>4</v>
      </c>
      <c r="K614" s="31">
        <v>3</v>
      </c>
      <c r="L614" s="31">
        <v>4</v>
      </c>
      <c r="M614" s="31"/>
      <c r="N614" s="31"/>
      <c r="O614" s="31"/>
      <c r="P614" s="31"/>
      <c r="Q614" s="31"/>
      <c r="R614" s="31"/>
      <c r="S614" s="29">
        <f>YEAR(Tabla2[[#This Row],[Fecha]])</f>
        <v>2025</v>
      </c>
    </row>
    <row r="615" spans="1:19">
      <c r="A615" s="27">
        <v>45729</v>
      </c>
      <c r="B615" s="27" t="s">
        <v>56</v>
      </c>
      <c r="C615" s="30">
        <f>SUM(D615:R615)</f>
        <v>66</v>
      </c>
      <c r="D615" s="31">
        <v>12</v>
      </c>
      <c r="E615" s="31">
        <v>1</v>
      </c>
      <c r="F615" s="31">
        <v>13</v>
      </c>
      <c r="G615" s="31">
        <v>1</v>
      </c>
      <c r="H615" s="31">
        <v>9</v>
      </c>
      <c r="I615" s="31">
        <v>7</v>
      </c>
      <c r="J615" s="31">
        <v>22</v>
      </c>
      <c r="K615" s="31">
        <v>1</v>
      </c>
      <c r="L615" s="31"/>
      <c r="M615" s="31"/>
      <c r="N615" s="31"/>
      <c r="O615" s="31"/>
      <c r="P615" s="31"/>
      <c r="Q615" s="31"/>
      <c r="R615" s="31"/>
      <c r="S615" s="29">
        <f>YEAR(Tabla2[[#This Row],[Fecha]])</f>
        <v>2025</v>
      </c>
    </row>
    <row r="616" spans="1:19">
      <c r="A616" s="27">
        <v>45730</v>
      </c>
      <c r="B616" s="27" t="s">
        <v>60</v>
      </c>
      <c r="C616" s="30">
        <f>SUM(D616:R616)</f>
        <v>38</v>
      </c>
      <c r="D616" s="31">
        <v>14</v>
      </c>
      <c r="E616" s="31">
        <v>6</v>
      </c>
      <c r="F616" s="31">
        <v>6</v>
      </c>
      <c r="G616" s="31">
        <v>12</v>
      </c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29">
        <f>YEAR(Tabla2[[#This Row],[Fecha]])</f>
        <v>2025</v>
      </c>
    </row>
    <row r="617" spans="1:19">
      <c r="A617" s="27">
        <v>45730</v>
      </c>
      <c r="B617" s="27" t="s">
        <v>59</v>
      </c>
      <c r="C617" s="30">
        <f>SUM(D617:R617)</f>
        <v>30</v>
      </c>
      <c r="D617" s="31">
        <v>8</v>
      </c>
      <c r="E617" s="31">
        <v>16</v>
      </c>
      <c r="F617" s="31">
        <v>6</v>
      </c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29">
        <f>YEAR(Tabla2[[#This Row],[Fecha]])</f>
        <v>2025</v>
      </c>
    </row>
    <row r="618" spans="1:19">
      <c r="A618" s="27">
        <v>45730</v>
      </c>
      <c r="B618" s="27" t="s">
        <v>31</v>
      </c>
      <c r="C618" s="30">
        <f>SUM(D618:R618)</f>
        <v>40</v>
      </c>
      <c r="D618" s="31">
        <v>40</v>
      </c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29">
        <f>YEAR(Tabla2[[#This Row],[Fecha]])</f>
        <v>2025</v>
      </c>
    </row>
    <row r="619" spans="1:19">
      <c r="A619" s="27">
        <v>45731</v>
      </c>
      <c r="B619" s="27" t="s">
        <v>60</v>
      </c>
      <c r="C619" s="30">
        <f>SUM(D619:R619)</f>
        <v>38</v>
      </c>
      <c r="D619" s="31">
        <v>14</v>
      </c>
      <c r="E619" s="31">
        <v>24</v>
      </c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29">
        <f>YEAR(Tabla2[[#This Row],[Fecha]])</f>
        <v>2025</v>
      </c>
    </row>
    <row r="620" spans="1:19">
      <c r="A620" s="27">
        <v>45733</v>
      </c>
      <c r="B620" s="27" t="s">
        <v>56</v>
      </c>
      <c r="C620" s="30">
        <f>SUM(D620:R620)</f>
        <v>30</v>
      </c>
      <c r="D620" s="31">
        <v>9</v>
      </c>
      <c r="E620" s="31">
        <v>10</v>
      </c>
      <c r="F620" s="31">
        <v>11</v>
      </c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29">
        <f>YEAR(Tabla2[[#This Row],[Fecha]])</f>
        <v>2025</v>
      </c>
    </row>
    <row r="621" spans="1:19">
      <c r="A621" s="27">
        <v>45733</v>
      </c>
      <c r="B621" s="27" t="s">
        <v>60</v>
      </c>
      <c r="C621" s="30">
        <f>SUM(D621:R621)</f>
        <v>39</v>
      </c>
      <c r="D621" s="31">
        <v>24</v>
      </c>
      <c r="E621" s="31">
        <v>15</v>
      </c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29">
        <f>YEAR(Tabla2[[#This Row],[Fecha]])</f>
        <v>2025</v>
      </c>
    </row>
    <row r="622" spans="1:19">
      <c r="A622" s="27">
        <v>45734</v>
      </c>
      <c r="B622" s="27" t="s">
        <v>59</v>
      </c>
      <c r="C622" s="30">
        <f>SUM(D622:R622)</f>
        <v>39</v>
      </c>
      <c r="D622" s="31">
        <v>22</v>
      </c>
      <c r="E622" s="31">
        <v>17</v>
      </c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29">
        <f>YEAR(Tabla2[[#This Row],[Fecha]])</f>
        <v>2025</v>
      </c>
    </row>
    <row r="623" spans="1:19">
      <c r="A623" s="27">
        <v>45735</v>
      </c>
      <c r="B623" s="27" t="s">
        <v>31</v>
      </c>
      <c r="C623" s="30">
        <f>SUM(D623:R623)</f>
        <v>48</v>
      </c>
      <c r="D623" s="31">
        <v>48</v>
      </c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29">
        <f>YEAR(Tabla2[[#This Row],[Fecha]])</f>
        <v>2025</v>
      </c>
    </row>
    <row r="624" spans="1:19">
      <c r="A624" s="27">
        <v>45739</v>
      </c>
      <c r="B624" s="27" t="s">
        <v>31</v>
      </c>
      <c r="C624" s="30">
        <f>SUM(D624:R624)</f>
        <v>64</v>
      </c>
      <c r="D624" s="31">
        <v>64</v>
      </c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29">
        <f>YEAR(Tabla2[[#This Row],[Fecha]])</f>
        <v>2025</v>
      </c>
    </row>
    <row r="625" spans="1:19">
      <c r="A625" s="27">
        <v>45739</v>
      </c>
      <c r="B625" s="27" t="s">
        <v>59</v>
      </c>
      <c r="C625" s="30">
        <f>SUM(D625:R625)</f>
        <v>24</v>
      </c>
      <c r="D625" s="31">
        <v>3</v>
      </c>
      <c r="E625" s="31">
        <v>4</v>
      </c>
      <c r="F625" s="31">
        <v>4</v>
      </c>
      <c r="G625" s="31">
        <v>3</v>
      </c>
      <c r="H625" s="31">
        <v>2</v>
      </c>
      <c r="I625" s="31">
        <v>3</v>
      </c>
      <c r="J625" s="31">
        <v>5</v>
      </c>
      <c r="K625" s="31"/>
      <c r="L625" s="31"/>
      <c r="M625" s="31"/>
      <c r="N625" s="31"/>
      <c r="O625" s="31"/>
      <c r="P625" s="31"/>
      <c r="Q625" s="31"/>
      <c r="R625" s="31"/>
      <c r="S625" s="29">
        <f>YEAR(Tabla2[[#This Row],[Fecha]])</f>
        <v>2025</v>
      </c>
    </row>
    <row r="626" spans="1:19">
      <c r="A626" s="27">
        <v>45740</v>
      </c>
      <c r="B626" s="27" t="s">
        <v>59</v>
      </c>
      <c r="C626" s="30">
        <f>SUM(D626:R626)</f>
        <v>7</v>
      </c>
      <c r="D626" s="31">
        <v>4</v>
      </c>
      <c r="E626" s="31">
        <v>3</v>
      </c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29">
        <f>YEAR(Tabla2[[#This Row],[Fecha]])</f>
        <v>2025</v>
      </c>
    </row>
    <row r="627" spans="1:19">
      <c r="A627" s="27">
        <v>45741</v>
      </c>
      <c r="B627" s="27" t="s">
        <v>59</v>
      </c>
      <c r="C627" s="30">
        <f>SUM(D627:R627)</f>
        <v>13</v>
      </c>
      <c r="D627" s="31">
        <v>8</v>
      </c>
      <c r="E627" s="31">
        <v>5</v>
      </c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29">
        <f>YEAR(Tabla2[[#This Row],[Fecha]])</f>
        <v>2025</v>
      </c>
    </row>
    <row r="628" spans="1:19">
      <c r="A628" s="27">
        <v>45743</v>
      </c>
      <c r="B628" s="27" t="s">
        <v>31</v>
      </c>
      <c r="C628" s="30">
        <f>SUM(D628:R628)</f>
        <v>44</v>
      </c>
      <c r="D628" s="31">
        <v>44</v>
      </c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29">
        <f>YEAR(Tabla2[[#This Row],[Fecha]])</f>
        <v>2025</v>
      </c>
    </row>
    <row r="629" spans="1:19">
      <c r="A629" s="27">
        <v>45748</v>
      </c>
      <c r="B629" s="27" t="s">
        <v>61</v>
      </c>
      <c r="C629" s="30">
        <f>SUM(D629:R629)</f>
        <v>31</v>
      </c>
      <c r="D629" s="31">
        <v>31</v>
      </c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29">
        <f>YEAR(Tabla2[[#This Row],[Fecha]])</f>
        <v>2025</v>
      </c>
    </row>
    <row r="630" spans="1:19">
      <c r="A630" s="27">
        <v>45749</v>
      </c>
      <c r="B630" s="27" t="s">
        <v>58</v>
      </c>
      <c r="C630" s="30">
        <f>SUM(D630:R630)</f>
        <v>15</v>
      </c>
      <c r="D630" s="31">
        <v>15</v>
      </c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29">
        <f>YEAR(Tabla2[[#This Row],[Fecha]])</f>
        <v>2025</v>
      </c>
    </row>
    <row r="631" spans="1:19">
      <c r="A631" s="27">
        <v>45749</v>
      </c>
      <c r="B631" s="27" t="s">
        <v>59</v>
      </c>
      <c r="C631" s="30">
        <f>SUM(D631:R631)</f>
        <v>33</v>
      </c>
      <c r="D631" s="31">
        <v>3</v>
      </c>
      <c r="E631" s="31">
        <v>7</v>
      </c>
      <c r="F631" s="31">
        <v>11</v>
      </c>
      <c r="G631" s="31">
        <v>6</v>
      </c>
      <c r="H631" s="31">
        <v>6</v>
      </c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29">
        <f>YEAR(Tabla2[[#This Row],[Fecha]])</f>
        <v>2025</v>
      </c>
    </row>
    <row r="632" spans="1:19">
      <c r="A632" s="27">
        <v>45750</v>
      </c>
      <c r="B632" s="27" t="s">
        <v>58</v>
      </c>
      <c r="C632" s="30">
        <f>SUM(D632:R632)</f>
        <v>15</v>
      </c>
      <c r="D632" s="31">
        <v>15</v>
      </c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29">
        <f>YEAR(Tabla2[[#This Row],[Fecha]])</f>
        <v>2025</v>
      </c>
    </row>
    <row r="633" spans="1:19">
      <c r="A633" s="27">
        <v>45750</v>
      </c>
      <c r="B633" s="27" t="s">
        <v>59</v>
      </c>
      <c r="C633" s="30">
        <f>SUM(D633:R633)</f>
        <v>18</v>
      </c>
      <c r="D633" s="31">
        <v>4</v>
      </c>
      <c r="E633" s="31">
        <v>11</v>
      </c>
      <c r="F633" s="31">
        <v>2</v>
      </c>
      <c r="G633" s="31">
        <v>1</v>
      </c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29">
        <f>YEAR(Tabla2[[#This Row],[Fecha]])</f>
        <v>2025</v>
      </c>
    </row>
    <row r="634" spans="1:19">
      <c r="A634" s="27">
        <v>45751</v>
      </c>
      <c r="B634" s="27" t="s">
        <v>58</v>
      </c>
      <c r="C634" s="30">
        <f>SUM(D634:R634)</f>
        <v>11</v>
      </c>
      <c r="D634" s="31">
        <v>11</v>
      </c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29">
        <f>YEAR(Tabla2[[#This Row],[Fecha]])</f>
        <v>2025</v>
      </c>
    </row>
    <row r="635" spans="1:19">
      <c r="A635" s="27">
        <v>45751</v>
      </c>
      <c r="B635" s="27" t="s">
        <v>22</v>
      </c>
      <c r="C635" s="30">
        <f>SUM(D635:R635)</f>
        <v>23</v>
      </c>
      <c r="D635" s="31">
        <v>23</v>
      </c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29">
        <f>YEAR(Tabla2[[#This Row],[Fecha]])</f>
        <v>2025</v>
      </c>
    </row>
    <row r="636" spans="1:19">
      <c r="A636" s="27">
        <v>45752</v>
      </c>
      <c r="B636" s="27" t="s">
        <v>22</v>
      </c>
      <c r="C636" s="30">
        <f>SUM(D636:R636)</f>
        <v>24</v>
      </c>
      <c r="D636" s="31">
        <v>24</v>
      </c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29">
        <f>YEAR(Tabla2[[#This Row],[Fecha]])</f>
        <v>2025</v>
      </c>
    </row>
    <row r="637" spans="1:19">
      <c r="A637" s="27">
        <v>45752</v>
      </c>
      <c r="B637" s="27" t="s">
        <v>58</v>
      </c>
      <c r="C637" s="30">
        <f>SUM(D637:R637)</f>
        <v>12</v>
      </c>
      <c r="D637" s="31">
        <v>12</v>
      </c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29">
        <f>YEAR(Tabla2[[#This Row],[Fecha]])</f>
        <v>2025</v>
      </c>
    </row>
    <row r="638" spans="1:19">
      <c r="A638" s="27">
        <v>45753</v>
      </c>
      <c r="B638" s="27" t="s">
        <v>58</v>
      </c>
      <c r="C638" s="30">
        <f>SUM(D638:R638)</f>
        <v>27</v>
      </c>
      <c r="D638" s="31">
        <v>12</v>
      </c>
      <c r="E638" s="31">
        <v>15</v>
      </c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29">
        <f>YEAR(Tabla2[[#This Row],[Fecha]])</f>
        <v>2025</v>
      </c>
    </row>
    <row r="639" spans="1:19">
      <c r="A639" s="27">
        <v>45753</v>
      </c>
      <c r="B639" s="27" t="s">
        <v>59</v>
      </c>
      <c r="C639" s="30">
        <f>SUM(D639:R639)</f>
        <v>18</v>
      </c>
      <c r="D639" s="31">
        <v>5</v>
      </c>
      <c r="E639" s="31">
        <v>3</v>
      </c>
      <c r="F639" s="31">
        <v>2</v>
      </c>
      <c r="G639" s="31">
        <v>3</v>
      </c>
      <c r="H639" s="31">
        <v>5</v>
      </c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29">
        <f>YEAR(Tabla2[[#This Row],[Fecha]])</f>
        <v>2025</v>
      </c>
    </row>
    <row r="640" spans="1:19">
      <c r="A640" s="27">
        <v>45754</v>
      </c>
      <c r="B640" s="27" t="s">
        <v>58</v>
      </c>
      <c r="C640" s="30">
        <f>SUM(D640:R640)</f>
        <v>23</v>
      </c>
      <c r="D640" s="31">
        <v>16</v>
      </c>
      <c r="E640" s="31">
        <v>7</v>
      </c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29">
        <f>YEAR(Tabla2[[#This Row],[Fecha]])</f>
        <v>2025</v>
      </c>
    </row>
    <row r="641" spans="1:19">
      <c r="A641" s="27">
        <v>45755</v>
      </c>
      <c r="B641" s="27" t="s">
        <v>22</v>
      </c>
      <c r="C641" s="30">
        <f>SUM(D641:R641)</f>
        <v>20</v>
      </c>
      <c r="D641" s="31">
        <v>20</v>
      </c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29">
        <f>YEAR(Tabla2[[#This Row],[Fecha]])</f>
        <v>2025</v>
      </c>
    </row>
    <row r="642" spans="1:19">
      <c r="A642" s="27">
        <v>45755</v>
      </c>
      <c r="B642" s="27" t="s">
        <v>58</v>
      </c>
      <c r="C642" s="30">
        <f>SUM(D642:R642)</f>
        <v>11</v>
      </c>
      <c r="D642" s="31">
        <v>11</v>
      </c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29">
        <f>YEAR(Tabla2[[#This Row],[Fecha]])</f>
        <v>2025</v>
      </c>
    </row>
    <row r="643" spans="1:19">
      <c r="A643" s="27">
        <v>45755</v>
      </c>
      <c r="B643" s="27" t="s">
        <v>59</v>
      </c>
      <c r="C643" s="30">
        <f>SUM(D643:R643)</f>
        <v>14</v>
      </c>
      <c r="D643" s="31">
        <v>6</v>
      </c>
      <c r="E643" s="31">
        <v>5</v>
      </c>
      <c r="F643" s="31">
        <v>3</v>
      </c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29">
        <f>YEAR(Tabla2[[#This Row],[Fecha]])</f>
        <v>2025</v>
      </c>
    </row>
    <row r="644" spans="1:19">
      <c r="A644" s="27">
        <v>45756</v>
      </c>
      <c r="B644" s="27" t="s">
        <v>58</v>
      </c>
      <c r="C644" s="30">
        <f>SUM(D644:R644)</f>
        <v>12</v>
      </c>
      <c r="D644" s="31">
        <v>12</v>
      </c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29">
        <f>YEAR(Tabla2[[#This Row],[Fecha]])</f>
        <v>2025</v>
      </c>
    </row>
    <row r="645" spans="1:19">
      <c r="A645" s="27">
        <v>45756</v>
      </c>
      <c r="B645" s="27" t="s">
        <v>22</v>
      </c>
      <c r="C645" s="30">
        <f>SUM(D645:R645)</f>
        <v>14</v>
      </c>
      <c r="D645" s="31">
        <v>14</v>
      </c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29">
        <f>YEAR(Tabla2[[#This Row],[Fecha]])</f>
        <v>2025</v>
      </c>
    </row>
    <row r="646" spans="1:19">
      <c r="A646" s="27">
        <v>45757</v>
      </c>
      <c r="B646" s="27" t="s">
        <v>58</v>
      </c>
      <c r="C646" s="30">
        <f>SUM(D646:R646)</f>
        <v>12</v>
      </c>
      <c r="D646" s="31">
        <v>12</v>
      </c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29">
        <f>YEAR(Tabla2[[#This Row],[Fecha]])</f>
        <v>2025</v>
      </c>
    </row>
    <row r="647" spans="1:19">
      <c r="A647" s="27">
        <v>45757</v>
      </c>
      <c r="B647" s="27" t="s">
        <v>22</v>
      </c>
      <c r="C647" s="30">
        <f>SUM(D647:R647)</f>
        <v>15</v>
      </c>
      <c r="D647" s="31">
        <v>15</v>
      </c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29">
        <f>YEAR(Tabla2[[#This Row],[Fecha]])</f>
        <v>2025</v>
      </c>
    </row>
    <row r="648" spans="1:19">
      <c r="A648" s="27">
        <v>45757</v>
      </c>
      <c r="B648" s="27" t="s">
        <v>62</v>
      </c>
      <c r="C648" s="30">
        <f>SUM(D648:R648)</f>
        <v>55</v>
      </c>
      <c r="D648" s="31">
        <v>5</v>
      </c>
      <c r="E648" s="31">
        <v>14</v>
      </c>
      <c r="F648" s="31">
        <v>13</v>
      </c>
      <c r="G648" s="31">
        <v>11</v>
      </c>
      <c r="H648" s="31">
        <v>12</v>
      </c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29">
        <f>YEAR(Tabla2[[#This Row],[Fecha]])</f>
        <v>2025</v>
      </c>
    </row>
    <row r="649" spans="1:19">
      <c r="A649" s="27">
        <v>45758</v>
      </c>
      <c r="B649" s="27" t="s">
        <v>62</v>
      </c>
      <c r="C649" s="30">
        <f>SUM(D649:R649)</f>
        <v>33</v>
      </c>
      <c r="D649" s="31">
        <v>11</v>
      </c>
      <c r="E649" s="31">
        <v>11</v>
      </c>
      <c r="F649" s="31">
        <v>10</v>
      </c>
      <c r="G649" s="31">
        <v>1</v>
      </c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29">
        <f>YEAR(Tabla2[[#This Row],[Fecha]])</f>
        <v>2025</v>
      </c>
    </row>
    <row r="650" spans="1:19">
      <c r="A650" s="27">
        <v>45758</v>
      </c>
      <c r="B650" s="27" t="s">
        <v>58</v>
      </c>
      <c r="C650" s="30">
        <f>SUM(D650:R650)</f>
        <v>13</v>
      </c>
      <c r="D650" s="31">
        <v>13</v>
      </c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29">
        <f>YEAR(Tabla2[[#This Row],[Fecha]])</f>
        <v>2025</v>
      </c>
    </row>
    <row r="651" spans="1:19">
      <c r="A651" s="27">
        <v>45761</v>
      </c>
      <c r="B651" s="27" t="s">
        <v>22</v>
      </c>
      <c r="C651" s="30">
        <f>SUM(D651:R651)</f>
        <v>40</v>
      </c>
      <c r="D651" s="31">
        <v>21</v>
      </c>
      <c r="E651" s="31">
        <v>19</v>
      </c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29">
        <f>YEAR(Tabla2[[#This Row],[Fecha]])</f>
        <v>2025</v>
      </c>
    </row>
    <row r="652" customFormat="1" spans="1:19">
      <c r="A652" s="27">
        <v>45761</v>
      </c>
      <c r="B652" s="27" t="s">
        <v>58</v>
      </c>
      <c r="C652" s="30">
        <f>SUM(D652:R652)</f>
        <v>9</v>
      </c>
      <c r="D652" s="31">
        <v>9</v>
      </c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29">
        <f>YEAR(Tabla2[[#This Row],[Fecha]])</f>
        <v>2025</v>
      </c>
    </row>
    <row r="653" spans="1:19">
      <c r="A653" s="27">
        <v>45762</v>
      </c>
      <c r="B653" s="27" t="s">
        <v>41</v>
      </c>
      <c r="C653" s="30">
        <f>SUM(D653:R653)</f>
        <v>16</v>
      </c>
      <c r="D653" s="31">
        <v>16</v>
      </c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29">
        <f>YEAR(Tabla2[[#This Row],[Fecha]])</f>
        <v>2025</v>
      </c>
    </row>
    <row r="654" spans="1:19">
      <c r="A654" s="27">
        <v>45770</v>
      </c>
      <c r="B654" s="27" t="s">
        <v>41</v>
      </c>
      <c r="C654" s="30">
        <f>SUM(D654:R654)</f>
        <v>20</v>
      </c>
      <c r="D654" s="31">
        <v>20</v>
      </c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29">
        <f>YEAR(Tabla2[[#This Row],[Fecha]])</f>
        <v>2025</v>
      </c>
    </row>
    <row r="655" spans="1:19">
      <c r="A655" s="27">
        <v>45770</v>
      </c>
      <c r="B655" s="27" t="s">
        <v>58</v>
      </c>
      <c r="C655" s="30">
        <f>SUM(D655:R655)</f>
        <v>12</v>
      </c>
      <c r="D655" s="31">
        <v>12</v>
      </c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29">
        <f>YEAR(Tabla2[[#This Row],[Fecha]])</f>
        <v>2025</v>
      </c>
    </row>
    <row r="656" spans="1:19">
      <c r="A656" s="27">
        <v>45770</v>
      </c>
      <c r="B656" s="27" t="s">
        <v>59</v>
      </c>
      <c r="C656" s="30">
        <f>SUM(D656:R656)</f>
        <v>5</v>
      </c>
      <c r="D656" s="31">
        <v>5</v>
      </c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29">
        <f>YEAR(Tabla2[[#This Row],[Fecha]])</f>
        <v>2025</v>
      </c>
    </row>
    <row r="657" spans="1:19">
      <c r="A657" s="27">
        <v>45774</v>
      </c>
      <c r="B657" s="27" t="s">
        <v>59</v>
      </c>
      <c r="C657" s="30">
        <f>SUM(D657:R657)</f>
        <v>18</v>
      </c>
      <c r="D657" s="31">
        <v>8</v>
      </c>
      <c r="E657" s="31">
        <v>4</v>
      </c>
      <c r="F657" s="31">
        <v>6</v>
      </c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29">
        <f>YEAR(Tabla2[[#This Row],[Fecha]])</f>
        <v>2025</v>
      </c>
    </row>
    <row r="658" spans="1:19">
      <c r="A658" s="27">
        <v>45776</v>
      </c>
      <c r="B658" s="27" t="s">
        <v>31</v>
      </c>
      <c r="C658" s="30">
        <f>SUM(D658:R658)</f>
        <v>40</v>
      </c>
      <c r="D658" s="31">
        <v>40</v>
      </c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29">
        <f>YEAR(Tabla2[[#This Row],[Fecha]])</f>
        <v>2025</v>
      </c>
    </row>
    <row r="659" spans="1:19">
      <c r="A659" s="27">
        <v>45776</v>
      </c>
      <c r="B659" s="27" t="s">
        <v>61</v>
      </c>
      <c r="C659" s="30">
        <f>SUM(D659:R659)</f>
        <v>8</v>
      </c>
      <c r="D659" s="31">
        <v>8</v>
      </c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29">
        <f>YEAR(Tabla2[[#This Row],[Fecha]])</f>
        <v>2025</v>
      </c>
    </row>
    <row r="660" spans="1:19">
      <c r="A660" s="27">
        <v>45776</v>
      </c>
      <c r="B660" s="27" t="s">
        <v>58</v>
      </c>
      <c r="C660" s="30">
        <f>SUM(D660:R660)</f>
        <v>13</v>
      </c>
      <c r="D660" s="31">
        <v>13</v>
      </c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29">
        <f>YEAR(Tabla2[[#This Row],[Fecha]])</f>
        <v>2025</v>
      </c>
    </row>
    <row r="661" spans="1:19">
      <c r="A661" s="27">
        <v>45777</v>
      </c>
      <c r="B661" s="27" t="s">
        <v>31</v>
      </c>
      <c r="C661" s="30">
        <f>SUM(D661:R661)</f>
        <v>44</v>
      </c>
      <c r="D661" s="31">
        <v>44</v>
      </c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29">
        <f>YEAR(Tabla2[[#This Row],[Fecha]])</f>
        <v>2025</v>
      </c>
    </row>
    <row r="662" spans="1:19">
      <c r="A662" s="27">
        <v>45777</v>
      </c>
      <c r="B662" s="27" t="s">
        <v>58</v>
      </c>
      <c r="C662" s="30">
        <f>SUM(D662:R662)</f>
        <v>15</v>
      </c>
      <c r="D662" s="31">
        <v>15</v>
      </c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29">
        <f>YEAR(Tabla2[[#This Row],[Fecha]])</f>
        <v>2025</v>
      </c>
    </row>
    <row r="663" spans="1:19">
      <c r="A663" s="27">
        <v>45777</v>
      </c>
      <c r="B663" s="27" t="s">
        <v>22</v>
      </c>
      <c r="C663" s="30">
        <f>SUM(D663:R663)</f>
        <v>13</v>
      </c>
      <c r="D663" s="31">
        <v>13</v>
      </c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29">
        <f>YEAR(Tabla2[[#This Row],[Fecha]])</f>
        <v>2025</v>
      </c>
    </row>
    <row r="664" spans="1:19">
      <c r="A664" s="27">
        <v>45778</v>
      </c>
      <c r="B664" s="27" t="s">
        <v>58</v>
      </c>
      <c r="C664" s="30">
        <f>SUM(D664:R664)</f>
        <v>14</v>
      </c>
      <c r="D664" s="31">
        <v>14</v>
      </c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29">
        <f>YEAR(Tabla2[[#This Row],[Fecha]])</f>
        <v>2025</v>
      </c>
    </row>
    <row r="665" spans="1:19">
      <c r="A665" s="27">
        <v>45778</v>
      </c>
      <c r="B665" s="27" t="s">
        <v>22</v>
      </c>
      <c r="C665" s="30">
        <f>SUM(D665:R665)</f>
        <v>14</v>
      </c>
      <c r="D665" s="31">
        <v>14</v>
      </c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29">
        <f>YEAR(Tabla2[[#This Row],[Fecha]])</f>
        <v>2025</v>
      </c>
    </row>
    <row r="666" spans="1:19">
      <c r="A666" s="27">
        <v>45778</v>
      </c>
      <c r="B666" s="27" t="s">
        <v>56</v>
      </c>
      <c r="C666" s="30">
        <f>SUM(D666:R666)</f>
        <v>10</v>
      </c>
      <c r="D666" s="31">
        <v>10</v>
      </c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29">
        <f>YEAR(Tabla2[[#This Row],[Fecha]])</f>
        <v>2025</v>
      </c>
    </row>
    <row r="667" spans="1:19">
      <c r="A667" s="27">
        <v>45779</v>
      </c>
      <c r="B667" s="27" t="s">
        <v>31</v>
      </c>
      <c r="C667" s="30">
        <f>SUM(D667:R667)</f>
        <v>33</v>
      </c>
      <c r="D667" s="31">
        <v>33</v>
      </c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29">
        <f>YEAR(Tabla2[[#This Row],[Fecha]])</f>
        <v>2025</v>
      </c>
    </row>
    <row r="668" spans="1:19">
      <c r="A668" s="27">
        <v>45780</v>
      </c>
      <c r="B668" s="27" t="s">
        <v>31</v>
      </c>
      <c r="C668" s="30">
        <f>SUM(D668:R668)</f>
        <v>61</v>
      </c>
      <c r="D668" s="31">
        <f>60+34-D667</f>
        <v>61</v>
      </c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29">
        <f>YEAR(Tabla2[[#This Row],[Fecha]])</f>
        <v>2025</v>
      </c>
    </row>
    <row r="669" spans="1:19">
      <c r="A669" s="27">
        <v>45781</v>
      </c>
      <c r="B669" s="27" t="s">
        <v>58</v>
      </c>
      <c r="C669" s="30">
        <f>SUM(D669:R669)</f>
        <v>12</v>
      </c>
      <c r="D669" s="31">
        <v>12</v>
      </c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29">
        <f>YEAR(Tabla2[[#This Row],[Fecha]])</f>
        <v>2025</v>
      </c>
    </row>
    <row r="670" spans="1:19">
      <c r="A670" s="27">
        <v>45781</v>
      </c>
      <c r="B670" s="27" t="s">
        <v>22</v>
      </c>
      <c r="C670" s="30">
        <f>SUM(D670:R670)</f>
        <v>19</v>
      </c>
      <c r="D670" s="31">
        <v>19</v>
      </c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29">
        <f>YEAR(Tabla2[[#This Row],[Fecha]])</f>
        <v>2025</v>
      </c>
    </row>
    <row r="671" spans="1:19">
      <c r="A671" s="27">
        <v>45781</v>
      </c>
      <c r="B671" s="27" t="s">
        <v>56</v>
      </c>
      <c r="C671" s="30">
        <f>SUM(D671:R671)</f>
        <v>34</v>
      </c>
      <c r="D671" s="31">
        <v>12</v>
      </c>
      <c r="E671" s="31">
        <v>6</v>
      </c>
      <c r="F671" s="31">
        <v>5</v>
      </c>
      <c r="G671" s="31">
        <v>11</v>
      </c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29">
        <f>YEAR(Tabla2[[#This Row],[Fecha]])</f>
        <v>2025</v>
      </c>
    </row>
    <row r="672" spans="1:19">
      <c r="A672" s="27">
        <v>45782</v>
      </c>
      <c r="B672" s="27" t="s">
        <v>22</v>
      </c>
      <c r="C672" s="30">
        <f>SUM(D672:R672)</f>
        <v>34</v>
      </c>
      <c r="D672" s="31">
        <v>6</v>
      </c>
      <c r="E672" s="31">
        <v>3</v>
      </c>
      <c r="F672" s="31">
        <v>5</v>
      </c>
      <c r="G672" s="31">
        <v>5</v>
      </c>
      <c r="H672" s="31">
        <v>10</v>
      </c>
      <c r="I672" s="31">
        <v>5</v>
      </c>
      <c r="J672" s="31"/>
      <c r="K672" s="31"/>
      <c r="L672" s="31"/>
      <c r="M672" s="31"/>
      <c r="N672" s="31"/>
      <c r="O672" s="31"/>
      <c r="P672" s="31"/>
      <c r="Q672" s="31"/>
      <c r="R672" s="31"/>
      <c r="S672" s="29">
        <f>YEAR(Tabla2[[#This Row],[Fecha]])</f>
        <v>2025</v>
      </c>
    </row>
    <row r="673" spans="1:19">
      <c r="A673" s="27">
        <v>45782</v>
      </c>
      <c r="B673" s="27" t="s">
        <v>56</v>
      </c>
      <c r="C673" s="30">
        <f>SUM(D673:R673)</f>
        <v>38</v>
      </c>
      <c r="D673" s="31">
        <v>8</v>
      </c>
      <c r="E673" s="31">
        <v>10</v>
      </c>
      <c r="F673" s="31">
        <v>7</v>
      </c>
      <c r="G673" s="31">
        <v>4</v>
      </c>
      <c r="H673" s="31">
        <v>9</v>
      </c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29">
        <f>YEAR(Tabla2[[#This Row],[Fecha]])</f>
        <v>2025</v>
      </c>
    </row>
    <row r="674" spans="1:19">
      <c r="A674" s="27">
        <v>45783</v>
      </c>
      <c r="B674" s="27" t="s">
        <v>56</v>
      </c>
      <c r="C674" s="30">
        <f>SUM(D674:R674)</f>
        <v>34</v>
      </c>
      <c r="D674" s="31">
        <v>7</v>
      </c>
      <c r="E674" s="31">
        <v>10</v>
      </c>
      <c r="F674" s="31">
        <v>7</v>
      </c>
      <c r="G674" s="31">
        <v>10</v>
      </c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29">
        <f>YEAR(Tabla2[[#This Row],[Fecha]])</f>
        <v>2025</v>
      </c>
    </row>
    <row r="675" spans="1:19">
      <c r="A675" s="27">
        <v>45783</v>
      </c>
      <c r="B675" s="27" t="s">
        <v>22</v>
      </c>
      <c r="C675" s="30">
        <f>SUM(D675:R675)</f>
        <v>16</v>
      </c>
      <c r="D675" s="31">
        <v>8</v>
      </c>
      <c r="E675" s="31">
        <v>3</v>
      </c>
      <c r="F675" s="31">
        <v>5</v>
      </c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29">
        <f>YEAR(Tabla2[[#This Row],[Fecha]])</f>
        <v>2025</v>
      </c>
    </row>
    <row r="676" spans="1:19">
      <c r="A676" s="27">
        <v>45783</v>
      </c>
      <c r="B676" s="27" t="s">
        <v>20</v>
      </c>
      <c r="C676" s="30">
        <f>SUM(D676:R676)</f>
        <v>11</v>
      </c>
      <c r="D676" s="31">
        <v>5</v>
      </c>
      <c r="E676" s="31">
        <v>6</v>
      </c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29">
        <f>YEAR(Tabla2[[#This Row],[Fecha]])</f>
        <v>2025</v>
      </c>
    </row>
    <row r="677" spans="1:19">
      <c r="A677" s="27">
        <v>45784</v>
      </c>
      <c r="B677" s="27" t="s">
        <v>56</v>
      </c>
      <c r="C677" s="30">
        <f>SUM(D677:R677)</f>
        <v>37</v>
      </c>
      <c r="D677" s="31">
        <v>8</v>
      </c>
      <c r="E677" s="31">
        <v>10</v>
      </c>
      <c r="F677" s="31">
        <v>7</v>
      </c>
      <c r="G677" s="31">
        <v>12</v>
      </c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29">
        <f>YEAR(Tabla2[[#This Row],[Fecha]])</f>
        <v>2025</v>
      </c>
    </row>
    <row r="678" spans="1:19">
      <c r="A678" s="27">
        <v>45784</v>
      </c>
      <c r="B678" s="27" t="s">
        <v>20</v>
      </c>
      <c r="C678" s="30">
        <f>SUM(D678:R678)</f>
        <v>34</v>
      </c>
      <c r="D678" s="31">
        <v>6</v>
      </c>
      <c r="E678" s="31">
        <v>5</v>
      </c>
      <c r="F678" s="31">
        <v>4</v>
      </c>
      <c r="G678" s="31">
        <v>7</v>
      </c>
      <c r="H678" s="31">
        <v>3</v>
      </c>
      <c r="I678" s="31">
        <v>2</v>
      </c>
      <c r="J678" s="31">
        <v>7</v>
      </c>
      <c r="K678" s="31"/>
      <c r="L678" s="31"/>
      <c r="M678" s="31"/>
      <c r="N678" s="31"/>
      <c r="O678" s="31"/>
      <c r="P678" s="31"/>
      <c r="Q678" s="31"/>
      <c r="R678" s="31"/>
      <c r="S678" s="29">
        <f>YEAR(Tabla2[[#This Row],[Fecha]])</f>
        <v>2025</v>
      </c>
    </row>
    <row r="679" spans="1:19">
      <c r="A679" s="27">
        <v>45785</v>
      </c>
      <c r="B679" s="27" t="s">
        <v>56</v>
      </c>
      <c r="C679" s="30">
        <f>SUM(D679:R679)</f>
        <v>17</v>
      </c>
      <c r="D679" s="31">
        <v>11</v>
      </c>
      <c r="E679" s="31">
        <v>6</v>
      </c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29">
        <f>YEAR(Tabla2[[#This Row],[Fecha]])</f>
        <v>2025</v>
      </c>
    </row>
    <row r="680" spans="1:19">
      <c r="A680" s="27">
        <v>45788</v>
      </c>
      <c r="B680" s="27" t="s">
        <v>56</v>
      </c>
      <c r="C680" s="30">
        <f>SUM(D680:R680)</f>
        <v>26</v>
      </c>
      <c r="D680" s="31">
        <v>7</v>
      </c>
      <c r="E680" s="31">
        <v>9</v>
      </c>
      <c r="F680" s="31">
        <v>3</v>
      </c>
      <c r="G680" s="31">
        <v>5</v>
      </c>
      <c r="H680" s="31">
        <v>2</v>
      </c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29">
        <f>YEAR(Tabla2[[#This Row],[Fecha]])</f>
        <v>2025</v>
      </c>
    </row>
    <row r="681" spans="1:19">
      <c r="A681" s="27">
        <v>45788</v>
      </c>
      <c r="B681" s="27" t="s">
        <v>44</v>
      </c>
      <c r="C681" s="30">
        <f>SUM(D681:R681)</f>
        <v>11</v>
      </c>
      <c r="D681" s="31">
        <v>11</v>
      </c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29">
        <f>YEAR(Tabla2[[#This Row],[Fecha]])</f>
        <v>2025</v>
      </c>
    </row>
    <row r="682" spans="1:19">
      <c r="A682" s="27">
        <v>45788</v>
      </c>
      <c r="B682" s="27" t="s">
        <v>20</v>
      </c>
      <c r="C682" s="30">
        <f>SUM(D682:R682)</f>
        <v>31</v>
      </c>
      <c r="D682" s="31">
        <v>6</v>
      </c>
      <c r="E682" s="31">
        <v>5</v>
      </c>
      <c r="F682" s="31">
        <v>4</v>
      </c>
      <c r="G682" s="31">
        <v>3</v>
      </c>
      <c r="H682" s="31">
        <v>7</v>
      </c>
      <c r="I682" s="31">
        <v>6</v>
      </c>
      <c r="J682" s="31"/>
      <c r="K682" s="31"/>
      <c r="L682" s="31"/>
      <c r="M682" s="31"/>
      <c r="N682" s="31"/>
      <c r="O682" s="31"/>
      <c r="P682" s="31"/>
      <c r="Q682" s="31"/>
      <c r="R682" s="31"/>
      <c r="S682" s="29">
        <f>YEAR(Tabla2[[#This Row],[Fecha]])</f>
        <v>2025</v>
      </c>
    </row>
    <row r="683" spans="1:19">
      <c r="A683" s="27">
        <v>45789</v>
      </c>
      <c r="B683" s="27" t="s">
        <v>44</v>
      </c>
      <c r="C683" s="30">
        <f>SUM(D683:R683)</f>
        <v>32</v>
      </c>
      <c r="D683" s="31">
        <v>9</v>
      </c>
      <c r="E683" s="31">
        <v>4</v>
      </c>
      <c r="F683" s="31">
        <v>8</v>
      </c>
      <c r="G683" s="31">
        <v>8</v>
      </c>
      <c r="H683" s="31">
        <v>3</v>
      </c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29">
        <f>YEAR(Tabla2[[#This Row],[Fecha]])</f>
        <v>2025</v>
      </c>
    </row>
    <row r="684" spans="1:19">
      <c r="A684" s="27">
        <v>45789</v>
      </c>
      <c r="B684" s="27" t="s">
        <v>20</v>
      </c>
      <c r="C684" s="30">
        <f>SUM(D684:R684)</f>
        <v>32</v>
      </c>
      <c r="D684" s="31">
        <v>6</v>
      </c>
      <c r="E684" s="31">
        <v>1</v>
      </c>
      <c r="F684" s="31">
        <v>2</v>
      </c>
      <c r="G684" s="31">
        <v>4</v>
      </c>
      <c r="H684" s="31">
        <v>4</v>
      </c>
      <c r="I684" s="31">
        <v>5</v>
      </c>
      <c r="J684" s="31">
        <v>5</v>
      </c>
      <c r="K684" s="31">
        <v>5</v>
      </c>
      <c r="L684" s="31"/>
      <c r="M684" s="31"/>
      <c r="N684" s="31"/>
      <c r="O684" s="31"/>
      <c r="P684" s="31"/>
      <c r="Q684" s="31"/>
      <c r="R684" s="31"/>
      <c r="S684" s="29">
        <f>YEAR(Tabla2[[#This Row],[Fecha]])</f>
        <v>2025</v>
      </c>
    </row>
    <row r="685" spans="1:19">
      <c r="A685" s="27">
        <v>45790</v>
      </c>
      <c r="B685" s="27" t="s">
        <v>44</v>
      </c>
      <c r="C685" s="30">
        <f>SUM(D685:R685)</f>
        <v>33</v>
      </c>
      <c r="D685" s="31">
        <v>9</v>
      </c>
      <c r="E685" s="31">
        <v>9</v>
      </c>
      <c r="F685" s="31">
        <v>6</v>
      </c>
      <c r="G685" s="31">
        <v>9</v>
      </c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29">
        <f>YEAR(Tabla2[[#This Row],[Fecha]])</f>
        <v>2025</v>
      </c>
    </row>
    <row r="686" spans="1:19">
      <c r="A686" s="27">
        <v>45790</v>
      </c>
      <c r="B686" s="27" t="s">
        <v>20</v>
      </c>
      <c r="C686" s="30">
        <f>SUM(D686:R686)</f>
        <v>33</v>
      </c>
      <c r="D686" s="31">
        <v>5</v>
      </c>
      <c r="E686" s="31">
        <v>3</v>
      </c>
      <c r="F686" s="31">
        <v>7</v>
      </c>
      <c r="G686" s="31">
        <v>3</v>
      </c>
      <c r="H686" s="31">
        <v>4</v>
      </c>
      <c r="I686" s="31">
        <v>7</v>
      </c>
      <c r="J686" s="31">
        <v>4</v>
      </c>
      <c r="K686" s="31"/>
      <c r="L686" s="31"/>
      <c r="M686" s="31"/>
      <c r="N686" s="31"/>
      <c r="O686" s="31"/>
      <c r="P686" s="31"/>
      <c r="Q686" s="31"/>
      <c r="R686" s="31"/>
      <c r="S686" s="29">
        <f>YEAR(Tabla2[[#This Row],[Fecha]])</f>
        <v>2025</v>
      </c>
    </row>
    <row r="687" spans="1:19">
      <c r="A687" s="27">
        <v>45791</v>
      </c>
      <c r="B687" s="27" t="s">
        <v>44</v>
      </c>
      <c r="C687" s="30">
        <f>SUM(D687:R687)</f>
        <v>30</v>
      </c>
      <c r="D687" s="31">
        <v>7</v>
      </c>
      <c r="E687" s="31">
        <v>6</v>
      </c>
      <c r="F687" s="31">
        <v>5</v>
      </c>
      <c r="G687" s="31">
        <v>6</v>
      </c>
      <c r="H687" s="31">
        <v>6</v>
      </c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29">
        <f>YEAR(Tabla2[[#This Row],[Fecha]])</f>
        <v>2025</v>
      </c>
    </row>
    <row r="688" spans="1:19">
      <c r="A688" s="27">
        <v>45791</v>
      </c>
      <c r="B688" s="27" t="s">
        <v>20</v>
      </c>
      <c r="C688" s="30">
        <f>SUM(D688:R688)</f>
        <v>32</v>
      </c>
      <c r="D688" s="31">
        <v>4</v>
      </c>
      <c r="E688" s="31">
        <v>2</v>
      </c>
      <c r="F688" s="31">
        <v>2</v>
      </c>
      <c r="G688" s="31">
        <v>3</v>
      </c>
      <c r="H688" s="31">
        <v>4</v>
      </c>
      <c r="I688" s="31">
        <v>7</v>
      </c>
      <c r="J688" s="31">
        <v>4</v>
      </c>
      <c r="K688" s="31">
        <v>6</v>
      </c>
      <c r="L688" s="31"/>
      <c r="M688" s="31"/>
      <c r="N688" s="31"/>
      <c r="O688" s="31"/>
      <c r="P688" s="31"/>
      <c r="Q688" s="31"/>
      <c r="R688" s="31"/>
      <c r="S688" s="29">
        <f>YEAR(Tabla2[[#This Row],[Fecha]])</f>
        <v>2025</v>
      </c>
    </row>
    <row r="689" spans="1:19">
      <c r="A689" s="27">
        <v>45792</v>
      </c>
      <c r="B689" s="27" t="s">
        <v>44</v>
      </c>
      <c r="C689" s="30">
        <f>SUM(D689:R689)</f>
        <v>31</v>
      </c>
      <c r="D689" s="31">
        <v>6</v>
      </c>
      <c r="E689" s="31">
        <v>5</v>
      </c>
      <c r="F689" s="31">
        <v>3</v>
      </c>
      <c r="G689" s="31">
        <v>4</v>
      </c>
      <c r="H689" s="31">
        <v>4</v>
      </c>
      <c r="I689" s="31">
        <v>4</v>
      </c>
      <c r="J689" s="31">
        <v>5</v>
      </c>
      <c r="K689" s="31"/>
      <c r="L689" s="31"/>
      <c r="M689" s="31"/>
      <c r="N689" s="31"/>
      <c r="O689" s="31"/>
      <c r="P689" s="31"/>
      <c r="Q689" s="31"/>
      <c r="R689" s="31"/>
      <c r="S689" s="29">
        <f>YEAR(Tabla2[[#This Row],[Fecha]])</f>
        <v>2025</v>
      </c>
    </row>
    <row r="690" spans="1:19">
      <c r="A690" s="27">
        <v>45792</v>
      </c>
      <c r="B690" s="27" t="s">
        <v>20</v>
      </c>
      <c r="C690" s="30">
        <f>SUM(D690:R690)</f>
        <v>32</v>
      </c>
      <c r="D690" s="31">
        <v>5</v>
      </c>
      <c r="E690" s="31">
        <v>5</v>
      </c>
      <c r="F690" s="31">
        <v>9</v>
      </c>
      <c r="G690" s="31">
        <v>5</v>
      </c>
      <c r="H690" s="31">
        <v>5</v>
      </c>
      <c r="I690" s="31">
        <v>3</v>
      </c>
      <c r="J690" s="31"/>
      <c r="K690" s="31"/>
      <c r="L690" s="31"/>
      <c r="M690" s="31"/>
      <c r="N690" s="31"/>
      <c r="O690" s="31"/>
      <c r="P690" s="31"/>
      <c r="Q690" s="31"/>
      <c r="R690" s="31"/>
      <c r="S690" s="29">
        <f>YEAR(Tabla2[[#This Row],[Fecha]])</f>
        <v>2025</v>
      </c>
    </row>
    <row r="691" spans="1:19">
      <c r="A691" s="27">
        <v>45793</v>
      </c>
      <c r="B691" s="27" t="s">
        <v>44</v>
      </c>
      <c r="C691" s="30">
        <f>SUM(D691:R691)</f>
        <v>32</v>
      </c>
      <c r="D691" s="31">
        <v>8</v>
      </c>
      <c r="E691" s="31">
        <v>7</v>
      </c>
      <c r="F691" s="31">
        <v>8</v>
      </c>
      <c r="G691" s="31">
        <v>3</v>
      </c>
      <c r="H691" s="31">
        <v>6</v>
      </c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29">
        <f>YEAR(Tabla2[[#This Row],[Fecha]])</f>
        <v>2025</v>
      </c>
    </row>
    <row r="692" spans="1:19">
      <c r="A692" s="27">
        <v>45793</v>
      </c>
      <c r="B692" s="27" t="s">
        <v>20</v>
      </c>
      <c r="C692" s="30">
        <f>SUM(D692:R692)</f>
        <v>31</v>
      </c>
      <c r="D692" s="31">
        <v>5</v>
      </c>
      <c r="E692" s="31">
        <v>5</v>
      </c>
      <c r="F692" s="31">
        <v>1</v>
      </c>
      <c r="G692" s="31">
        <v>1</v>
      </c>
      <c r="H692" s="31">
        <v>2</v>
      </c>
      <c r="I692" s="31">
        <v>7</v>
      </c>
      <c r="J692" s="31">
        <v>4</v>
      </c>
      <c r="K692" s="31">
        <v>6</v>
      </c>
      <c r="L692" s="31"/>
      <c r="M692" s="31"/>
      <c r="N692" s="31"/>
      <c r="O692" s="31"/>
      <c r="P692" s="31"/>
      <c r="Q692" s="31"/>
      <c r="R692" s="31"/>
      <c r="S692" s="29">
        <f>YEAR(Tabla2[[#This Row],[Fecha]])</f>
        <v>2025</v>
      </c>
    </row>
    <row r="693" spans="1:19">
      <c r="A693" s="27">
        <v>45795</v>
      </c>
      <c r="B693" s="27" t="s">
        <v>44</v>
      </c>
      <c r="C693" s="30">
        <f>SUM(D693:R693)</f>
        <v>61</v>
      </c>
      <c r="D693" s="31">
        <v>5</v>
      </c>
      <c r="E693" s="31">
        <v>8</v>
      </c>
      <c r="F693" s="31">
        <v>6</v>
      </c>
      <c r="G693" s="31">
        <v>5</v>
      </c>
      <c r="H693" s="31">
        <v>7</v>
      </c>
      <c r="I693" s="31">
        <v>8</v>
      </c>
      <c r="J693" s="31">
        <v>6</v>
      </c>
      <c r="K693" s="31">
        <v>6</v>
      </c>
      <c r="L693" s="31">
        <v>4</v>
      </c>
      <c r="M693" s="31">
        <v>6</v>
      </c>
      <c r="N693" s="31"/>
      <c r="O693" s="31"/>
      <c r="P693" s="31"/>
      <c r="Q693" s="31"/>
      <c r="R693" s="31"/>
      <c r="S693" s="29">
        <f>YEAR(Tabla2[[#This Row],[Fecha]])</f>
        <v>2025</v>
      </c>
    </row>
    <row r="694" spans="1:19">
      <c r="A694" s="27">
        <v>45795</v>
      </c>
      <c r="B694" s="27" t="s">
        <v>20</v>
      </c>
      <c r="C694" s="30">
        <f>SUM(D694:R694)</f>
        <v>60</v>
      </c>
      <c r="D694" s="31">
        <v>5</v>
      </c>
      <c r="E694" s="31">
        <v>5</v>
      </c>
      <c r="F694" s="31">
        <v>5</v>
      </c>
      <c r="G694" s="31">
        <v>5</v>
      </c>
      <c r="H694" s="31">
        <v>10</v>
      </c>
      <c r="I694" s="31">
        <v>10</v>
      </c>
      <c r="J694" s="31">
        <v>2</v>
      </c>
      <c r="K694" s="31">
        <v>2</v>
      </c>
      <c r="L694" s="31">
        <v>5</v>
      </c>
      <c r="M694" s="31">
        <v>6</v>
      </c>
      <c r="N694" s="31">
        <v>5</v>
      </c>
      <c r="O694" s="31"/>
      <c r="P694" s="31"/>
      <c r="Q694" s="31"/>
      <c r="R694" s="31"/>
      <c r="S694" s="29">
        <f>YEAR(Tabla2[[#This Row],[Fecha]])</f>
        <v>2025</v>
      </c>
    </row>
    <row r="695" spans="1:19">
      <c r="A695" s="27">
        <v>45796</v>
      </c>
      <c r="B695" s="27" t="s">
        <v>44</v>
      </c>
      <c r="C695" s="30">
        <f>SUM(D695:R695)</f>
        <v>32</v>
      </c>
      <c r="D695" s="31">
        <v>11</v>
      </c>
      <c r="E695" s="31">
        <v>8</v>
      </c>
      <c r="F695" s="31">
        <v>8</v>
      </c>
      <c r="G695" s="31">
        <v>5</v>
      </c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29">
        <f>YEAR(Tabla2[[#This Row],[Fecha]])</f>
        <v>2025</v>
      </c>
    </row>
    <row r="696" spans="1:19">
      <c r="A696" s="27">
        <v>45796</v>
      </c>
      <c r="B696" s="27" t="s">
        <v>20</v>
      </c>
      <c r="C696" s="30">
        <f>SUM(D696:R696)</f>
        <v>34</v>
      </c>
      <c r="D696" s="31">
        <v>12</v>
      </c>
      <c r="E696" s="31">
        <v>7</v>
      </c>
      <c r="F696" s="31">
        <v>6</v>
      </c>
      <c r="G696" s="31">
        <v>9</v>
      </c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29">
        <f>YEAR(Tabla2[[#This Row],[Fecha]])</f>
        <v>2025</v>
      </c>
    </row>
    <row r="697" spans="1:19">
      <c r="A697" s="27">
        <v>45797</v>
      </c>
      <c r="B697" s="27" t="s">
        <v>44</v>
      </c>
      <c r="C697" s="30">
        <f>SUM(D697:R697)</f>
        <v>32</v>
      </c>
      <c r="D697" s="31">
        <v>8</v>
      </c>
      <c r="E697" s="31">
        <v>8</v>
      </c>
      <c r="F697" s="31">
        <v>4</v>
      </c>
      <c r="G697" s="31">
        <v>5</v>
      </c>
      <c r="H697" s="31">
        <v>7</v>
      </c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29">
        <f>YEAR(Tabla2[[#This Row],[Fecha]])</f>
        <v>2025</v>
      </c>
    </row>
    <row r="698" spans="1:19">
      <c r="A698" s="27">
        <v>45798</v>
      </c>
      <c r="B698" s="27" t="s">
        <v>44</v>
      </c>
      <c r="C698" s="30">
        <f>SUM(D698:R698)</f>
        <v>34</v>
      </c>
      <c r="D698" s="31">
        <v>6</v>
      </c>
      <c r="E698" s="31">
        <v>5</v>
      </c>
      <c r="F698" s="31">
        <v>5</v>
      </c>
      <c r="G698" s="31">
        <v>5</v>
      </c>
      <c r="H698" s="31">
        <v>5</v>
      </c>
      <c r="I698" s="31">
        <v>3</v>
      </c>
      <c r="J698" s="31">
        <v>5</v>
      </c>
      <c r="K698" s="31"/>
      <c r="L698" s="31"/>
      <c r="M698" s="31"/>
      <c r="N698" s="31"/>
      <c r="O698" s="31"/>
      <c r="P698" s="31"/>
      <c r="Q698" s="31"/>
      <c r="R698" s="31"/>
      <c r="S698" s="29">
        <f>YEAR(Tabla2[[#This Row],[Fecha]])</f>
        <v>2025</v>
      </c>
    </row>
    <row r="699" spans="1:19">
      <c r="A699" s="27">
        <v>45798</v>
      </c>
      <c r="B699" s="27" t="s">
        <v>20</v>
      </c>
      <c r="C699" s="30">
        <f>SUM(D699:R699)</f>
        <v>13</v>
      </c>
      <c r="D699" s="31">
        <v>5</v>
      </c>
      <c r="E699" s="31">
        <v>7</v>
      </c>
      <c r="F699" s="31">
        <v>1</v>
      </c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29">
        <f>YEAR(Tabla2[[#This Row],[Fecha]])</f>
        <v>2025</v>
      </c>
    </row>
    <row r="700" spans="1:19">
      <c r="A700" s="27">
        <v>45798</v>
      </c>
      <c r="B700" s="27" t="s">
        <v>23</v>
      </c>
      <c r="C700" s="30">
        <f>SUM(D700:R700)</f>
        <v>22</v>
      </c>
      <c r="D700" s="31">
        <v>2</v>
      </c>
      <c r="E700" s="31">
        <v>6</v>
      </c>
      <c r="F700" s="31">
        <v>7</v>
      </c>
      <c r="G700" s="31">
        <v>7</v>
      </c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29">
        <f>YEAR(Tabla2[[#This Row],[Fecha]])</f>
        <v>2025</v>
      </c>
    </row>
    <row r="701" spans="1:19">
      <c r="A701" s="27">
        <v>45799</v>
      </c>
      <c r="B701" s="27" t="s">
        <v>44</v>
      </c>
      <c r="C701" s="30">
        <f>SUM(D701:R701)</f>
        <v>16</v>
      </c>
      <c r="D701" s="31">
        <v>6</v>
      </c>
      <c r="E701" s="31">
        <v>3</v>
      </c>
      <c r="F701" s="31">
        <v>5</v>
      </c>
      <c r="G701" s="31">
        <v>2</v>
      </c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29">
        <f>YEAR(Tabla2[[#This Row],[Fecha]])</f>
        <v>2025</v>
      </c>
    </row>
    <row r="702" spans="1:19">
      <c r="A702" s="27">
        <v>45799</v>
      </c>
      <c r="B702" s="27" t="s">
        <v>26</v>
      </c>
      <c r="C702" s="30">
        <f>SUM(D702:R702)</f>
        <v>21</v>
      </c>
      <c r="D702" s="31">
        <v>4</v>
      </c>
      <c r="E702" s="31">
        <v>4</v>
      </c>
      <c r="F702" s="31">
        <v>3</v>
      </c>
      <c r="G702" s="31">
        <v>10</v>
      </c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29">
        <f>YEAR(Tabla2[[#This Row],[Fecha]])</f>
        <v>2025</v>
      </c>
    </row>
    <row r="703" spans="1:19">
      <c r="A703" s="27">
        <v>45799</v>
      </c>
      <c r="B703" s="27" t="s">
        <v>23</v>
      </c>
      <c r="C703" s="30">
        <f>SUM(D703:R703)</f>
        <v>30</v>
      </c>
      <c r="D703" s="31">
        <v>6</v>
      </c>
      <c r="E703" s="31">
        <v>8</v>
      </c>
      <c r="F703" s="31">
        <v>1</v>
      </c>
      <c r="G703" s="31">
        <v>2</v>
      </c>
      <c r="H703" s="31">
        <v>3</v>
      </c>
      <c r="I703" s="31">
        <v>5</v>
      </c>
      <c r="J703" s="31">
        <v>5</v>
      </c>
      <c r="K703" s="31"/>
      <c r="L703" s="31"/>
      <c r="M703" s="31"/>
      <c r="N703" s="31"/>
      <c r="O703" s="31"/>
      <c r="P703" s="31"/>
      <c r="Q703" s="31"/>
      <c r="R703" s="31"/>
      <c r="S703" s="29">
        <f>YEAR(Tabla2[[#This Row],[Fecha]])</f>
        <v>2025</v>
      </c>
    </row>
    <row r="704" spans="1:19">
      <c r="A704" s="27">
        <v>45800</v>
      </c>
      <c r="B704" s="27" t="s">
        <v>26</v>
      </c>
      <c r="C704" s="30">
        <f>SUM(D704:R704)</f>
        <v>32</v>
      </c>
      <c r="D704" s="31">
        <v>3</v>
      </c>
      <c r="E704" s="31">
        <v>8</v>
      </c>
      <c r="F704" s="31">
        <v>3</v>
      </c>
      <c r="G704" s="31">
        <v>7</v>
      </c>
      <c r="H704" s="31">
        <v>4</v>
      </c>
      <c r="I704" s="31">
        <v>7</v>
      </c>
      <c r="J704" s="31"/>
      <c r="K704" s="31"/>
      <c r="L704" s="31"/>
      <c r="M704" s="31"/>
      <c r="N704" s="31"/>
      <c r="O704" s="31"/>
      <c r="P704" s="31"/>
      <c r="Q704" s="31"/>
      <c r="R704" s="31"/>
      <c r="S704" s="29">
        <f>YEAR(Tabla2[[#This Row],[Fecha]])</f>
        <v>2025</v>
      </c>
    </row>
    <row r="705" spans="1:19">
      <c r="A705" s="27">
        <v>45800</v>
      </c>
      <c r="B705" s="27" t="s">
        <v>23</v>
      </c>
      <c r="C705" s="30">
        <f>SUM(D705:R705)</f>
        <v>31</v>
      </c>
      <c r="D705" s="31">
        <v>9</v>
      </c>
      <c r="E705" s="31">
        <v>5</v>
      </c>
      <c r="F705" s="31">
        <v>6</v>
      </c>
      <c r="G705" s="31">
        <v>5</v>
      </c>
      <c r="H705" s="31">
        <v>4</v>
      </c>
      <c r="I705" s="31">
        <v>2</v>
      </c>
      <c r="J705" s="31"/>
      <c r="K705" s="31"/>
      <c r="L705" s="31"/>
      <c r="M705" s="31"/>
      <c r="N705" s="31"/>
      <c r="O705" s="31"/>
      <c r="P705" s="31"/>
      <c r="Q705" s="31"/>
      <c r="R705" s="31"/>
      <c r="S705" s="29">
        <f>YEAR(Tabla2[[#This Row],[Fecha]])</f>
        <v>2025</v>
      </c>
    </row>
    <row r="706" spans="1:19">
      <c r="A706" s="27">
        <v>45802</v>
      </c>
      <c r="B706" s="27" t="s">
        <v>26</v>
      </c>
      <c r="C706" s="30">
        <f>SUM(D706:R706)</f>
        <v>36</v>
      </c>
      <c r="D706" s="31">
        <v>4</v>
      </c>
      <c r="E706" s="31">
        <v>2</v>
      </c>
      <c r="F706" s="31">
        <v>6</v>
      </c>
      <c r="G706" s="31">
        <v>7</v>
      </c>
      <c r="H706" s="31">
        <v>8</v>
      </c>
      <c r="I706" s="31">
        <v>9</v>
      </c>
      <c r="J706" s="31"/>
      <c r="K706" s="31"/>
      <c r="L706" s="31"/>
      <c r="M706" s="31"/>
      <c r="N706" s="31"/>
      <c r="O706" s="31"/>
      <c r="P706" s="31"/>
      <c r="Q706" s="31"/>
      <c r="R706" s="31"/>
      <c r="S706" s="29">
        <f>YEAR(Tabla2[[#This Row],[Fecha]])</f>
        <v>2025</v>
      </c>
    </row>
    <row r="707" spans="1:19">
      <c r="A707" s="27">
        <v>45802</v>
      </c>
      <c r="B707" s="27" t="s">
        <v>61</v>
      </c>
      <c r="C707" s="30">
        <f>SUM(D707:R707)</f>
        <v>45</v>
      </c>
      <c r="D707" s="31">
        <v>24</v>
      </c>
      <c r="E707" s="31">
        <v>21</v>
      </c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29">
        <f>YEAR(Tabla2[[#This Row],[Fecha]])</f>
        <v>2025</v>
      </c>
    </row>
    <row r="708" spans="1:19">
      <c r="A708" s="27">
        <v>45803</v>
      </c>
      <c r="B708" s="27" t="s">
        <v>26</v>
      </c>
      <c r="C708" s="30">
        <f>SUM(D708:R708)</f>
        <v>30</v>
      </c>
      <c r="D708" s="31">
        <v>6</v>
      </c>
      <c r="E708" s="31">
        <v>7</v>
      </c>
      <c r="F708" s="31">
        <v>5</v>
      </c>
      <c r="G708" s="31">
        <v>4</v>
      </c>
      <c r="H708" s="31">
        <v>5</v>
      </c>
      <c r="I708" s="31">
        <v>3</v>
      </c>
      <c r="J708" s="31"/>
      <c r="K708" s="31"/>
      <c r="L708" s="31"/>
      <c r="M708" s="31"/>
      <c r="N708" s="31"/>
      <c r="O708" s="31"/>
      <c r="P708" s="31"/>
      <c r="Q708" s="31"/>
      <c r="R708" s="31"/>
      <c r="S708" s="29">
        <f>YEAR(Tabla2[[#This Row],[Fecha]])</f>
        <v>2025</v>
      </c>
    </row>
    <row r="709" spans="1:19">
      <c r="A709" s="27">
        <v>45803</v>
      </c>
      <c r="B709" s="27" t="s">
        <v>23</v>
      </c>
      <c r="C709" s="30">
        <f>SUM(D709:R709)</f>
        <v>31</v>
      </c>
      <c r="D709" s="31">
        <v>2</v>
      </c>
      <c r="E709" s="31">
        <v>14</v>
      </c>
      <c r="F709" s="31">
        <v>9</v>
      </c>
      <c r="G709" s="31">
        <v>6</v>
      </c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29">
        <f>YEAR(Tabla2[[#This Row],[Fecha]])</f>
        <v>2025</v>
      </c>
    </row>
    <row r="710" spans="1:19">
      <c r="A710" s="27">
        <v>45804</v>
      </c>
      <c r="B710" s="27" t="s">
        <v>26</v>
      </c>
      <c r="C710" s="30">
        <f>SUM(D710:R710)</f>
        <v>32</v>
      </c>
      <c r="D710" s="31">
        <v>4</v>
      </c>
      <c r="E710" s="31">
        <v>4</v>
      </c>
      <c r="F710" s="31">
        <v>4</v>
      </c>
      <c r="G710" s="31">
        <v>7</v>
      </c>
      <c r="H710" s="31">
        <v>7</v>
      </c>
      <c r="I710" s="31">
        <v>3</v>
      </c>
      <c r="J710" s="31">
        <v>3</v>
      </c>
      <c r="K710" s="31"/>
      <c r="L710" s="31"/>
      <c r="M710" s="31"/>
      <c r="N710" s="31"/>
      <c r="O710" s="31"/>
      <c r="P710" s="31"/>
      <c r="Q710" s="31"/>
      <c r="R710" s="31"/>
      <c r="S710" s="29">
        <f>YEAR(Tabla2[[#This Row],[Fecha]])</f>
        <v>2025</v>
      </c>
    </row>
    <row r="711" spans="1:19">
      <c r="A711" s="27">
        <v>45804</v>
      </c>
      <c r="B711" s="27" t="s">
        <v>23</v>
      </c>
      <c r="C711" s="30">
        <f>SUM(D711:R711)</f>
        <v>35</v>
      </c>
      <c r="D711" s="31">
        <v>5</v>
      </c>
      <c r="E711" s="31">
        <v>7</v>
      </c>
      <c r="F711" s="31">
        <v>6</v>
      </c>
      <c r="G711" s="31">
        <v>1</v>
      </c>
      <c r="H711" s="31">
        <v>2</v>
      </c>
      <c r="I711" s="31">
        <v>7</v>
      </c>
      <c r="J711" s="31">
        <v>7</v>
      </c>
      <c r="K711" s="31"/>
      <c r="L711" s="31"/>
      <c r="M711" s="31"/>
      <c r="N711" s="31"/>
      <c r="O711" s="31"/>
      <c r="P711" s="31"/>
      <c r="Q711" s="31"/>
      <c r="R711" s="31"/>
      <c r="S711" s="29">
        <f>YEAR(Tabla2[[#This Row],[Fecha]])</f>
        <v>2025</v>
      </c>
    </row>
    <row r="712" spans="1:19">
      <c r="A712" s="27">
        <v>45805</v>
      </c>
      <c r="B712" s="27" t="s">
        <v>26</v>
      </c>
      <c r="C712" s="30">
        <f>SUM(D712:R712)</f>
        <v>31</v>
      </c>
      <c r="D712" s="31">
        <v>4</v>
      </c>
      <c r="E712" s="31">
        <v>4</v>
      </c>
      <c r="F712" s="31">
        <v>6</v>
      </c>
      <c r="G712" s="31">
        <v>3</v>
      </c>
      <c r="H712" s="31">
        <v>8</v>
      </c>
      <c r="I712" s="31">
        <v>6</v>
      </c>
      <c r="J712" s="31"/>
      <c r="K712" s="31"/>
      <c r="L712" s="31"/>
      <c r="M712" s="31"/>
      <c r="N712" s="31"/>
      <c r="O712" s="31"/>
      <c r="P712" s="31"/>
      <c r="Q712" s="31"/>
      <c r="R712" s="31"/>
      <c r="S712" s="29">
        <f>YEAR(Tabla2[[#This Row],[Fecha]])</f>
        <v>2025</v>
      </c>
    </row>
    <row r="713" spans="1:19">
      <c r="A713" s="27">
        <v>45805</v>
      </c>
      <c r="B713" s="27" t="s">
        <v>23</v>
      </c>
      <c r="C713" s="30">
        <f>SUM(D713:R713)</f>
        <v>34</v>
      </c>
      <c r="D713" s="31">
        <v>9</v>
      </c>
      <c r="E713" s="31">
        <v>6</v>
      </c>
      <c r="F713" s="31">
        <v>8</v>
      </c>
      <c r="G713" s="31">
        <v>5</v>
      </c>
      <c r="H713" s="31">
        <v>6</v>
      </c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29">
        <f>YEAR(Tabla2[[#This Row],[Fecha]])</f>
        <v>2025</v>
      </c>
    </row>
    <row r="714" spans="1:19">
      <c r="A714" s="27">
        <v>45806</v>
      </c>
      <c r="B714" s="27" t="s">
        <v>26</v>
      </c>
      <c r="C714" s="30">
        <f>SUM(D714:R714)</f>
        <v>34</v>
      </c>
      <c r="D714" s="31">
        <v>5</v>
      </c>
      <c r="E714" s="31">
        <v>1</v>
      </c>
      <c r="F714" s="31">
        <v>9</v>
      </c>
      <c r="G714" s="31">
        <v>3</v>
      </c>
      <c r="H714" s="31">
        <v>7</v>
      </c>
      <c r="I714" s="31">
        <v>9</v>
      </c>
      <c r="J714" s="31"/>
      <c r="K714" s="31"/>
      <c r="L714" s="31"/>
      <c r="M714" s="31"/>
      <c r="N714" s="31"/>
      <c r="O714" s="31"/>
      <c r="P714" s="31"/>
      <c r="Q714" s="31"/>
      <c r="R714" s="31"/>
      <c r="S714" s="29">
        <f>YEAR(Tabla2[[#This Row],[Fecha]])</f>
        <v>2025</v>
      </c>
    </row>
    <row r="715" spans="1:19">
      <c r="A715" s="27">
        <v>45806</v>
      </c>
      <c r="B715" s="27" t="s">
        <v>23</v>
      </c>
      <c r="C715" s="30">
        <f>SUM(D715:R715)</f>
        <v>30</v>
      </c>
      <c r="D715" s="31">
        <v>4</v>
      </c>
      <c r="E715" s="31">
        <v>4</v>
      </c>
      <c r="F715" s="31">
        <v>2</v>
      </c>
      <c r="G715" s="31">
        <v>1</v>
      </c>
      <c r="H715" s="31">
        <v>6</v>
      </c>
      <c r="I715" s="31">
        <v>6</v>
      </c>
      <c r="J715" s="31">
        <v>7</v>
      </c>
      <c r="K715" s="31"/>
      <c r="L715" s="31"/>
      <c r="M715" s="31"/>
      <c r="N715" s="31"/>
      <c r="O715" s="31"/>
      <c r="P715" s="31"/>
      <c r="Q715" s="31"/>
      <c r="R715" s="31"/>
      <c r="S715" s="29">
        <f>YEAR(Tabla2[[#This Row],[Fecha]])</f>
        <v>2025</v>
      </c>
    </row>
    <row r="716" spans="1:19">
      <c r="A716" s="27">
        <v>45807</v>
      </c>
      <c r="B716" s="27" t="s">
        <v>23</v>
      </c>
      <c r="C716" s="30">
        <f>SUM(D716:R716)</f>
        <v>36</v>
      </c>
      <c r="D716" s="31">
        <v>3</v>
      </c>
      <c r="E716" s="31">
        <v>8</v>
      </c>
      <c r="F716" s="31">
        <v>6</v>
      </c>
      <c r="G716" s="31">
        <v>5</v>
      </c>
      <c r="H716" s="31">
        <v>6</v>
      </c>
      <c r="I716" s="31">
        <v>8</v>
      </c>
      <c r="J716" s="31"/>
      <c r="K716" s="31"/>
      <c r="L716" s="31"/>
      <c r="M716" s="31"/>
      <c r="N716" s="31"/>
      <c r="O716" s="31"/>
      <c r="P716" s="31"/>
      <c r="Q716" s="31"/>
      <c r="R716" s="31"/>
      <c r="S716" s="29">
        <f>YEAR(Tabla2[[#This Row],[Fecha]])</f>
        <v>2025</v>
      </c>
    </row>
    <row r="717" spans="1:19">
      <c r="A717" s="27">
        <v>45807</v>
      </c>
      <c r="B717" s="27" t="s">
        <v>26</v>
      </c>
      <c r="C717" s="30">
        <f>SUM(D717:R717)</f>
        <v>32</v>
      </c>
      <c r="D717" s="31">
        <v>9</v>
      </c>
      <c r="E717" s="31">
        <v>6</v>
      </c>
      <c r="F717" s="31">
        <v>11</v>
      </c>
      <c r="G717" s="31">
        <v>6</v>
      </c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29">
        <f>YEAR(Tabla2[[#This Row],[Fecha]])</f>
        <v>2025</v>
      </c>
    </row>
    <row r="718" spans="1:19">
      <c r="A718" s="27">
        <v>45807</v>
      </c>
      <c r="B718" s="27" t="s">
        <v>61</v>
      </c>
      <c r="C718" s="30">
        <f>SUM(D718:R718)</f>
        <v>16</v>
      </c>
      <c r="D718" s="31">
        <v>16</v>
      </c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29">
        <f>YEAR(Tabla2[[#This Row],[Fecha]])</f>
        <v>2025</v>
      </c>
    </row>
    <row r="719" spans="1:19">
      <c r="A719" s="27">
        <v>45808</v>
      </c>
      <c r="B719" s="27" t="s">
        <v>26</v>
      </c>
      <c r="C719" s="30">
        <f>SUM(D719:R719)</f>
        <v>34</v>
      </c>
      <c r="D719" s="31">
        <v>10</v>
      </c>
      <c r="E719" s="31">
        <v>7</v>
      </c>
      <c r="F719" s="31">
        <v>9</v>
      </c>
      <c r="G719" s="31">
        <v>8</v>
      </c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29">
        <f>YEAR(Tabla2[[#This Row],[Fecha]])</f>
        <v>2025</v>
      </c>
    </row>
    <row r="720" spans="1:19">
      <c r="A720" s="27">
        <v>45808</v>
      </c>
      <c r="B720" s="27" t="s">
        <v>23</v>
      </c>
      <c r="C720" s="30">
        <f>SUM(D720:R720)</f>
        <v>23</v>
      </c>
      <c r="D720" s="31">
        <v>8</v>
      </c>
      <c r="E720" s="31">
        <v>2</v>
      </c>
      <c r="F720" s="31">
        <v>2</v>
      </c>
      <c r="G720" s="31">
        <v>6</v>
      </c>
      <c r="H720" s="31">
        <v>5</v>
      </c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29">
        <f>YEAR(Tabla2[[#This Row],[Fecha]])</f>
        <v>2025</v>
      </c>
    </row>
    <row r="721" spans="1:19">
      <c r="A721" s="27">
        <v>45810</v>
      </c>
      <c r="B721" s="27" t="s">
        <v>26</v>
      </c>
      <c r="C721" s="30">
        <f>SUM(D721:R721)</f>
        <v>32</v>
      </c>
      <c r="D721" s="31">
        <v>7</v>
      </c>
      <c r="E721" s="31">
        <v>6</v>
      </c>
      <c r="F721" s="31">
        <v>3</v>
      </c>
      <c r="G721" s="31">
        <v>7</v>
      </c>
      <c r="H721" s="31">
        <v>3</v>
      </c>
      <c r="I721" s="31">
        <v>5</v>
      </c>
      <c r="J721" s="31">
        <v>1</v>
      </c>
      <c r="K721" s="31"/>
      <c r="L721" s="31"/>
      <c r="M721" s="31"/>
      <c r="N721" s="31"/>
      <c r="O721" s="31"/>
      <c r="P721" s="31"/>
      <c r="Q721" s="31"/>
      <c r="R721" s="31"/>
      <c r="S721" s="29">
        <f>YEAR(Tabla2[[#This Row],[Fecha]])</f>
        <v>2025</v>
      </c>
    </row>
    <row r="722" spans="1:19">
      <c r="A722" s="27">
        <v>45810</v>
      </c>
      <c r="B722" s="27" t="s">
        <v>36</v>
      </c>
      <c r="C722" s="30">
        <f>SUM(D722:R722)</f>
        <v>4</v>
      </c>
      <c r="D722" s="31">
        <v>4</v>
      </c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29">
        <f>YEAR(Tabla2[[#This Row],[Fecha]])</f>
        <v>2025</v>
      </c>
    </row>
    <row r="723" spans="1:19">
      <c r="A723" s="27">
        <v>45810</v>
      </c>
      <c r="B723" s="27" t="s">
        <v>23</v>
      </c>
      <c r="C723" s="30">
        <f>SUM(D723:R723)</f>
        <v>36</v>
      </c>
      <c r="D723" s="31">
        <v>7</v>
      </c>
      <c r="E723" s="31">
        <v>3</v>
      </c>
      <c r="F723" s="31">
        <v>7</v>
      </c>
      <c r="G723" s="31">
        <v>9</v>
      </c>
      <c r="H723" s="31">
        <v>8</v>
      </c>
      <c r="I723" s="31">
        <v>1</v>
      </c>
      <c r="J723" s="31">
        <v>1</v>
      </c>
      <c r="K723" s="31"/>
      <c r="L723" s="31"/>
      <c r="M723" s="31"/>
      <c r="N723" s="31"/>
      <c r="O723" s="31"/>
      <c r="P723" s="31"/>
      <c r="Q723" s="31"/>
      <c r="R723" s="31"/>
      <c r="S723" s="29">
        <f>YEAR(Tabla2[[#This Row],[Fecha]])</f>
        <v>2025</v>
      </c>
    </row>
    <row r="724" spans="1:19">
      <c r="A724" s="27">
        <v>45811</v>
      </c>
      <c r="B724" s="27" t="s">
        <v>36</v>
      </c>
      <c r="C724" s="30">
        <f>SUM(D724:R724)</f>
        <v>37</v>
      </c>
      <c r="D724" s="31">
        <v>4</v>
      </c>
      <c r="E724" s="31">
        <v>5</v>
      </c>
      <c r="F724" s="31">
        <v>6</v>
      </c>
      <c r="G724" s="31">
        <v>5</v>
      </c>
      <c r="H724" s="31">
        <v>9</v>
      </c>
      <c r="I724" s="31">
        <v>8</v>
      </c>
      <c r="J724" s="31"/>
      <c r="K724" s="31"/>
      <c r="L724" s="31"/>
      <c r="M724" s="31"/>
      <c r="N724" s="31"/>
      <c r="O724" s="31"/>
      <c r="P724" s="31"/>
      <c r="Q724" s="31"/>
      <c r="R724" s="31"/>
      <c r="S724" s="29">
        <f>YEAR(Tabla2[[#This Row],[Fecha]])</f>
        <v>2025</v>
      </c>
    </row>
    <row r="725" spans="1:19">
      <c r="A725" s="27">
        <v>45811</v>
      </c>
      <c r="B725" s="27" t="s">
        <v>23</v>
      </c>
      <c r="C725" s="30">
        <f>SUM(D725:R725)</f>
        <v>35</v>
      </c>
      <c r="D725" s="31">
        <v>10</v>
      </c>
      <c r="E725" s="31">
        <v>9</v>
      </c>
      <c r="F725" s="31">
        <v>8</v>
      </c>
      <c r="G725" s="31">
        <v>8</v>
      </c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29">
        <f>YEAR(Tabla2[[#This Row],[Fecha]])</f>
        <v>2025</v>
      </c>
    </row>
    <row r="726" spans="1:19">
      <c r="A726" s="27">
        <v>45811</v>
      </c>
      <c r="B726" s="27" t="s">
        <v>61</v>
      </c>
      <c r="C726" s="30">
        <f>SUM(D726:R726)</f>
        <v>3</v>
      </c>
      <c r="D726" s="31">
        <v>3</v>
      </c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29">
        <f>YEAR(Tabla2[[#This Row],[Fecha]])</f>
        <v>2025</v>
      </c>
    </row>
    <row r="727" spans="1:19">
      <c r="A727" s="27">
        <v>45812</v>
      </c>
      <c r="B727" s="27" t="s">
        <v>36</v>
      </c>
      <c r="C727" s="30">
        <f>SUM(D727:R727)</f>
        <v>32</v>
      </c>
      <c r="D727" s="31">
        <v>8</v>
      </c>
      <c r="E727" s="31">
        <v>6</v>
      </c>
      <c r="F727" s="31">
        <v>5</v>
      </c>
      <c r="G727" s="31">
        <v>6</v>
      </c>
      <c r="H727" s="31">
        <v>7</v>
      </c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29">
        <f>YEAR(Tabla2[[#This Row],[Fecha]])</f>
        <v>2025</v>
      </c>
    </row>
    <row r="728" spans="1:19">
      <c r="A728" s="27">
        <v>45812</v>
      </c>
      <c r="B728" s="27" t="s">
        <v>23</v>
      </c>
      <c r="C728" s="30">
        <f>SUM(D728:R728)</f>
        <v>34</v>
      </c>
      <c r="D728" s="31">
        <v>7</v>
      </c>
      <c r="E728" s="31">
        <v>8</v>
      </c>
      <c r="F728" s="31">
        <v>1</v>
      </c>
      <c r="G728" s="31">
        <v>1</v>
      </c>
      <c r="H728" s="31">
        <v>1</v>
      </c>
      <c r="I728" s="31">
        <v>6</v>
      </c>
      <c r="J728" s="31">
        <v>4</v>
      </c>
      <c r="K728" s="31">
        <v>6</v>
      </c>
      <c r="L728" s="31"/>
      <c r="M728" s="31"/>
      <c r="N728" s="31"/>
      <c r="O728" s="31"/>
      <c r="P728" s="31"/>
      <c r="Q728" s="31"/>
      <c r="R728" s="31"/>
      <c r="S728" s="29">
        <f>YEAR(Tabla2[[#This Row],[Fecha]])</f>
        <v>2025</v>
      </c>
    </row>
    <row r="729" spans="1:19">
      <c r="A729" s="27">
        <v>45813</v>
      </c>
      <c r="B729" s="27" t="s">
        <v>36</v>
      </c>
      <c r="C729" s="30">
        <f>SUM(D729:R729)</f>
        <v>31</v>
      </c>
      <c r="D729" s="31">
        <v>8</v>
      </c>
      <c r="E729" s="31">
        <v>6</v>
      </c>
      <c r="F729" s="31">
        <v>6</v>
      </c>
      <c r="G729" s="31">
        <v>11</v>
      </c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29">
        <f>YEAR(Tabla2[[#This Row],[Fecha]])</f>
        <v>2025</v>
      </c>
    </row>
    <row r="730" spans="1:19">
      <c r="A730" s="27">
        <v>45813</v>
      </c>
      <c r="B730" s="27" t="s">
        <v>20</v>
      </c>
      <c r="C730" s="30">
        <f>SUM(D730:R730)</f>
        <v>30</v>
      </c>
      <c r="D730" s="31">
        <v>1</v>
      </c>
      <c r="E730" s="31">
        <v>8</v>
      </c>
      <c r="F730" s="31">
        <v>6</v>
      </c>
      <c r="G730" s="31">
        <v>1</v>
      </c>
      <c r="H730" s="31">
        <v>7</v>
      </c>
      <c r="I730" s="31">
        <v>7</v>
      </c>
      <c r="J730" s="31"/>
      <c r="K730" s="31"/>
      <c r="L730" s="31"/>
      <c r="M730" s="31"/>
      <c r="N730" s="31"/>
      <c r="O730" s="31"/>
      <c r="P730" s="31"/>
      <c r="Q730" s="31"/>
      <c r="R730" s="31"/>
      <c r="S730" s="29">
        <f>YEAR(Tabla2[[#This Row],[Fecha]])</f>
        <v>2025</v>
      </c>
    </row>
    <row r="731" spans="1:19">
      <c r="A731" s="27">
        <v>45814</v>
      </c>
      <c r="B731" s="27" t="s">
        <v>20</v>
      </c>
      <c r="C731" s="30">
        <f>SUM(D731:R731)</f>
        <v>34</v>
      </c>
      <c r="D731" s="31">
        <v>1</v>
      </c>
      <c r="E731" s="31">
        <v>11</v>
      </c>
      <c r="F731" s="31">
        <v>4</v>
      </c>
      <c r="G731" s="31">
        <v>1</v>
      </c>
      <c r="H731" s="31">
        <v>1</v>
      </c>
      <c r="I731" s="31">
        <v>9</v>
      </c>
      <c r="J731" s="31">
        <v>1</v>
      </c>
      <c r="K731" s="31">
        <v>6</v>
      </c>
      <c r="L731" s="31"/>
      <c r="M731" s="31"/>
      <c r="N731" s="31"/>
      <c r="O731" s="31"/>
      <c r="P731" s="31"/>
      <c r="Q731" s="31"/>
      <c r="R731" s="31"/>
      <c r="S731" s="29">
        <f>YEAR(Tabla2[[#This Row],[Fecha]])</f>
        <v>2025</v>
      </c>
    </row>
    <row r="732" spans="1:19">
      <c r="A732" s="27">
        <v>45814</v>
      </c>
      <c r="B732" s="27" t="s">
        <v>36</v>
      </c>
      <c r="C732" s="30">
        <f>SUM(D732:R732)</f>
        <v>30</v>
      </c>
      <c r="D732" s="31">
        <v>4</v>
      </c>
      <c r="E732" s="31">
        <v>8</v>
      </c>
      <c r="F732" s="31">
        <v>9</v>
      </c>
      <c r="G732" s="31">
        <v>5</v>
      </c>
      <c r="H732" s="31">
        <v>4</v>
      </c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29">
        <f>YEAR(Tabla2[[#This Row],[Fecha]])</f>
        <v>2025</v>
      </c>
    </row>
    <row r="733" spans="1:19">
      <c r="A733" s="27">
        <v>45816</v>
      </c>
      <c r="B733" s="27" t="s">
        <v>36</v>
      </c>
      <c r="C733" s="30">
        <f>SUM(D733:R733)</f>
        <v>41</v>
      </c>
      <c r="D733" s="31">
        <v>8</v>
      </c>
      <c r="E733" s="31">
        <v>8</v>
      </c>
      <c r="F733" s="31">
        <v>5</v>
      </c>
      <c r="G733" s="31">
        <v>7</v>
      </c>
      <c r="H733" s="31">
        <v>6</v>
      </c>
      <c r="I733" s="31">
        <v>7</v>
      </c>
      <c r="J733" s="31"/>
      <c r="K733" s="31"/>
      <c r="L733" s="31"/>
      <c r="M733" s="31"/>
      <c r="N733" s="31"/>
      <c r="O733" s="31"/>
      <c r="P733" s="31"/>
      <c r="Q733" s="31"/>
      <c r="R733" s="31"/>
      <c r="S733" s="29">
        <f>YEAR(Tabla2[[#This Row],[Fecha]])</f>
        <v>2025</v>
      </c>
    </row>
    <row r="734" spans="1:19">
      <c r="A734" s="27">
        <v>45817</v>
      </c>
      <c r="B734" s="27" t="s">
        <v>36</v>
      </c>
      <c r="C734" s="30">
        <f>SUM(D734:R734)</f>
        <v>31</v>
      </c>
      <c r="D734" s="31">
        <v>7</v>
      </c>
      <c r="E734" s="31">
        <v>5</v>
      </c>
      <c r="F734" s="31">
        <v>8</v>
      </c>
      <c r="G734" s="31">
        <v>4</v>
      </c>
      <c r="H734" s="31">
        <v>7</v>
      </c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29">
        <f>YEAR(Tabla2[[#This Row],[Fecha]])</f>
        <v>2025</v>
      </c>
    </row>
    <row r="735" spans="1:19">
      <c r="A735" s="27">
        <v>45817</v>
      </c>
      <c r="B735" s="27" t="s">
        <v>20</v>
      </c>
      <c r="C735" s="30">
        <f>SUM(D735:R735)</f>
        <v>40</v>
      </c>
      <c r="D735" s="31">
        <v>1</v>
      </c>
      <c r="E735" s="31">
        <v>10</v>
      </c>
      <c r="F735" s="31">
        <v>1</v>
      </c>
      <c r="G735" s="31">
        <v>8</v>
      </c>
      <c r="H735" s="31">
        <v>1</v>
      </c>
      <c r="I735" s="31">
        <v>8</v>
      </c>
      <c r="J735" s="31">
        <v>1</v>
      </c>
      <c r="K735" s="31">
        <v>10</v>
      </c>
      <c r="L735" s="31"/>
      <c r="M735" s="31"/>
      <c r="N735" s="31"/>
      <c r="O735" s="31"/>
      <c r="P735" s="31"/>
      <c r="Q735" s="31"/>
      <c r="R735" s="31"/>
      <c r="S735" s="29">
        <f>YEAR(Tabla2[[#This Row],[Fecha]])</f>
        <v>2025</v>
      </c>
    </row>
    <row r="736" spans="1:19">
      <c r="A736" s="27">
        <v>45818</v>
      </c>
      <c r="B736" s="27" t="s">
        <v>20</v>
      </c>
      <c r="C736" s="30">
        <f>SUM(D736:R736)</f>
        <v>50</v>
      </c>
      <c r="D736" s="31">
        <v>3</v>
      </c>
      <c r="E736" s="31">
        <v>3</v>
      </c>
      <c r="F736" s="31">
        <v>21</v>
      </c>
      <c r="G736" s="31">
        <v>23</v>
      </c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29">
        <f>YEAR(Tabla2[[#This Row],[Fecha]])</f>
        <v>2025</v>
      </c>
    </row>
    <row r="737" spans="1:19">
      <c r="A737" s="27">
        <v>45818</v>
      </c>
      <c r="B737" s="27" t="s">
        <v>36</v>
      </c>
      <c r="C737" s="30">
        <f>SUM(D737:R737)</f>
        <v>40</v>
      </c>
      <c r="D737" s="31">
        <v>9</v>
      </c>
      <c r="E737" s="31">
        <v>8</v>
      </c>
      <c r="F737" s="31">
        <v>5</v>
      </c>
      <c r="G737" s="31">
        <v>7</v>
      </c>
      <c r="H737" s="31">
        <v>11</v>
      </c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29">
        <f>YEAR(Tabla2[[#This Row],[Fecha]])</f>
        <v>2025</v>
      </c>
    </row>
    <row r="738" spans="1:19">
      <c r="A738" s="27">
        <v>45819</v>
      </c>
      <c r="B738" s="27" t="s">
        <v>36</v>
      </c>
      <c r="C738" s="30">
        <f>SUM(D738:R738)</f>
        <v>42</v>
      </c>
      <c r="D738" s="31">
        <v>7</v>
      </c>
      <c r="E738" s="31">
        <v>8</v>
      </c>
      <c r="F738" s="31">
        <v>8</v>
      </c>
      <c r="G738" s="31">
        <v>6</v>
      </c>
      <c r="H738" s="31">
        <v>4</v>
      </c>
      <c r="I738" s="31">
        <v>9</v>
      </c>
      <c r="J738" s="31"/>
      <c r="K738" s="31"/>
      <c r="L738" s="31"/>
      <c r="M738" s="31"/>
      <c r="N738" s="31"/>
      <c r="O738" s="31"/>
      <c r="P738" s="31"/>
      <c r="Q738" s="31"/>
      <c r="R738" s="31"/>
      <c r="S738" s="29">
        <f>YEAR(Tabla2[[#This Row],[Fecha]])</f>
        <v>2025</v>
      </c>
    </row>
    <row r="739" spans="1:19">
      <c r="A739" s="27">
        <v>45819</v>
      </c>
      <c r="B739" s="27" t="s">
        <v>20</v>
      </c>
      <c r="C739" s="30">
        <f>SUM(D739:R739)</f>
        <v>24</v>
      </c>
      <c r="D739" s="31">
        <v>24</v>
      </c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29">
        <f>YEAR(Tabla2[[#This Row],[Fecha]])</f>
        <v>2025</v>
      </c>
    </row>
    <row r="740" spans="1:19">
      <c r="A740" s="27">
        <v>45820</v>
      </c>
      <c r="B740" s="27" t="s">
        <v>36</v>
      </c>
      <c r="C740" s="30">
        <f>SUM(D740:R740)</f>
        <v>48</v>
      </c>
      <c r="D740" s="31">
        <v>6</v>
      </c>
      <c r="E740" s="31">
        <v>5</v>
      </c>
      <c r="F740" s="31">
        <v>8</v>
      </c>
      <c r="G740" s="31">
        <v>5</v>
      </c>
      <c r="H740" s="31">
        <v>3</v>
      </c>
      <c r="I740" s="31">
        <v>6</v>
      </c>
      <c r="J740" s="31">
        <v>4</v>
      </c>
      <c r="K740" s="31">
        <v>3</v>
      </c>
      <c r="L740" s="31">
        <v>7</v>
      </c>
      <c r="M740" s="31">
        <v>1</v>
      </c>
      <c r="N740" s="31"/>
      <c r="O740" s="31"/>
      <c r="P740" s="31"/>
      <c r="Q740" s="31"/>
      <c r="R740" s="31"/>
      <c r="S740" s="29">
        <f>YEAR(Tabla2[[#This Row],[Fecha]])</f>
        <v>2025</v>
      </c>
    </row>
    <row r="741" spans="1:19">
      <c r="A741" s="27">
        <v>45820</v>
      </c>
      <c r="B741" s="27" t="s">
        <v>23</v>
      </c>
      <c r="C741" s="30">
        <f>SUM(D741:R741)</f>
        <v>21</v>
      </c>
      <c r="D741" s="31">
        <v>21</v>
      </c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29">
        <f>YEAR(Tabla2[[#This Row],[Fecha]])</f>
        <v>2025</v>
      </c>
    </row>
    <row r="742" spans="1:19">
      <c r="A742" s="27">
        <v>45821</v>
      </c>
      <c r="B742" s="27" t="s">
        <v>25</v>
      </c>
      <c r="C742" s="30">
        <f>SUM(D742:R742)</f>
        <v>48</v>
      </c>
      <c r="D742" s="31">
        <v>2</v>
      </c>
      <c r="E742" s="31">
        <v>3</v>
      </c>
      <c r="F742" s="31">
        <v>4</v>
      </c>
      <c r="G742" s="31">
        <v>10</v>
      </c>
      <c r="H742" s="31">
        <v>6</v>
      </c>
      <c r="I742" s="31">
        <v>3</v>
      </c>
      <c r="J742" s="31">
        <v>11</v>
      </c>
      <c r="K742" s="31">
        <v>9</v>
      </c>
      <c r="L742" s="31"/>
      <c r="M742" s="31"/>
      <c r="N742" s="31"/>
      <c r="O742" s="31"/>
      <c r="P742" s="31"/>
      <c r="Q742" s="31"/>
      <c r="R742" s="31"/>
      <c r="S742" s="29">
        <f>YEAR(Tabla2[[#This Row],[Fecha]])</f>
        <v>2025</v>
      </c>
    </row>
    <row r="743" spans="1:19">
      <c r="A743" s="27">
        <v>45821</v>
      </c>
      <c r="B743" s="27" t="s">
        <v>23</v>
      </c>
      <c r="C743" s="30">
        <f>SUM(D743:R743)</f>
        <v>21</v>
      </c>
      <c r="D743" s="31">
        <v>21</v>
      </c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29">
        <f>YEAR(Tabla2[[#This Row],[Fecha]])</f>
        <v>2025</v>
      </c>
    </row>
    <row r="744" spans="1:19">
      <c r="A744" s="27">
        <v>45822</v>
      </c>
      <c r="B744" s="27" t="s">
        <v>25</v>
      </c>
      <c r="C744" s="30">
        <f>SUM(D744:R744)</f>
        <v>48</v>
      </c>
      <c r="D744" s="31">
        <v>4</v>
      </c>
      <c r="E744" s="31">
        <v>5</v>
      </c>
      <c r="F744" s="31">
        <v>9</v>
      </c>
      <c r="G744" s="31">
        <v>9</v>
      </c>
      <c r="H744" s="31">
        <v>3</v>
      </c>
      <c r="I744" s="31">
        <v>5</v>
      </c>
      <c r="J744" s="31">
        <v>6</v>
      </c>
      <c r="K744" s="31">
        <v>7</v>
      </c>
      <c r="L744" s="31"/>
      <c r="M744" s="31"/>
      <c r="N744" s="31"/>
      <c r="O744" s="31"/>
      <c r="P744" s="31"/>
      <c r="Q744" s="31"/>
      <c r="R744" s="31"/>
      <c r="S744" s="29">
        <f>YEAR(Tabla2[[#This Row],[Fecha]])</f>
        <v>2025</v>
      </c>
    </row>
    <row r="745" spans="1:19">
      <c r="A745" s="27">
        <v>45824</v>
      </c>
      <c r="B745" s="27" t="s">
        <v>25</v>
      </c>
      <c r="C745" s="30">
        <f>SUM(D745:R745)</f>
        <v>43</v>
      </c>
      <c r="D745" s="31">
        <v>7</v>
      </c>
      <c r="E745" s="31">
        <v>7</v>
      </c>
      <c r="F745" s="31">
        <v>6</v>
      </c>
      <c r="G745" s="31">
        <v>7</v>
      </c>
      <c r="H745" s="31">
        <v>4</v>
      </c>
      <c r="I745" s="31">
        <v>3</v>
      </c>
      <c r="J745" s="31">
        <v>4</v>
      </c>
      <c r="K745" s="31">
        <v>5</v>
      </c>
      <c r="L745" s="31"/>
      <c r="M745" s="31"/>
      <c r="N745" s="31"/>
      <c r="O745" s="31"/>
      <c r="P745" s="31"/>
      <c r="Q745" s="31"/>
      <c r="R745" s="31"/>
      <c r="S745" s="29">
        <f>YEAR(Tabla2[[#This Row],[Fecha]])</f>
        <v>2025</v>
      </c>
    </row>
    <row r="746" spans="1:19">
      <c r="A746" s="27">
        <v>45824</v>
      </c>
      <c r="B746" s="27" t="s">
        <v>20</v>
      </c>
      <c r="C746" s="30">
        <f>SUM(D746:R746)</f>
        <v>22</v>
      </c>
      <c r="D746" s="31">
        <v>22</v>
      </c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29">
        <f>YEAR(Tabla2[[#This Row],[Fecha]])</f>
        <v>2025</v>
      </c>
    </row>
    <row r="747" spans="1:19">
      <c r="A747" s="27">
        <v>45825</v>
      </c>
      <c r="B747" s="27" t="s">
        <v>25</v>
      </c>
      <c r="C747" s="30">
        <f>SUM(D747:R747)</f>
        <v>32</v>
      </c>
      <c r="D747" s="31">
        <v>6</v>
      </c>
      <c r="E747" s="31">
        <v>5</v>
      </c>
      <c r="F747" s="31">
        <v>5</v>
      </c>
      <c r="G747" s="31">
        <v>7</v>
      </c>
      <c r="H747" s="31">
        <v>6</v>
      </c>
      <c r="I747" s="31">
        <v>3</v>
      </c>
      <c r="J747" s="31"/>
      <c r="K747" s="31"/>
      <c r="L747" s="31"/>
      <c r="M747" s="31"/>
      <c r="N747" s="31"/>
      <c r="O747" s="31"/>
      <c r="P747" s="31"/>
      <c r="Q747" s="31"/>
      <c r="R747" s="31"/>
      <c r="S747" s="29">
        <f>YEAR(Tabla2[[#This Row],[Fecha]])</f>
        <v>2025</v>
      </c>
    </row>
    <row r="748" spans="1:19">
      <c r="A748" s="27">
        <v>45826</v>
      </c>
      <c r="B748" s="27" t="s">
        <v>25</v>
      </c>
      <c r="C748" s="30">
        <f>SUM(D748:R748)</f>
        <v>39</v>
      </c>
      <c r="D748" s="31">
        <v>4</v>
      </c>
      <c r="E748" s="31">
        <v>4</v>
      </c>
      <c r="F748" s="31">
        <v>10</v>
      </c>
      <c r="G748" s="31">
        <v>11</v>
      </c>
      <c r="H748" s="31">
        <v>4</v>
      </c>
      <c r="I748" s="31">
        <v>6</v>
      </c>
      <c r="J748" s="31"/>
      <c r="K748" s="31"/>
      <c r="L748" s="31"/>
      <c r="M748" s="31"/>
      <c r="N748" s="31"/>
      <c r="O748" s="31"/>
      <c r="P748" s="31"/>
      <c r="Q748" s="31"/>
      <c r="R748" s="31"/>
      <c r="S748" s="29">
        <f>YEAR(Tabla2[[#This Row],[Fecha]])</f>
        <v>2025</v>
      </c>
    </row>
    <row r="749" spans="1:19">
      <c r="A749" s="27">
        <v>45826</v>
      </c>
      <c r="B749" s="27" t="s">
        <v>23</v>
      </c>
      <c r="C749" s="30">
        <f>SUM(D749:R749)</f>
        <v>25</v>
      </c>
      <c r="D749" s="31">
        <v>25</v>
      </c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29">
        <f>YEAR(Tabla2[[#This Row],[Fecha]])</f>
        <v>2025</v>
      </c>
    </row>
    <row r="750" spans="1:19">
      <c r="A750" s="27">
        <v>45827</v>
      </c>
      <c r="B750" s="27" t="s">
        <v>25</v>
      </c>
      <c r="C750" s="30">
        <f>SUM(D750:R750)</f>
        <v>33</v>
      </c>
      <c r="D750" s="31">
        <v>10</v>
      </c>
      <c r="E750" s="31">
        <v>7</v>
      </c>
      <c r="F750" s="31">
        <v>3</v>
      </c>
      <c r="G750" s="31">
        <v>4</v>
      </c>
      <c r="H750" s="31">
        <v>9</v>
      </c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29">
        <f>YEAR(Tabla2[[#This Row],[Fecha]])</f>
        <v>2025</v>
      </c>
    </row>
    <row r="751" spans="1:19">
      <c r="A751" s="27">
        <v>45827</v>
      </c>
      <c r="B751" s="27" t="s">
        <v>23</v>
      </c>
      <c r="C751" s="30">
        <f>SUM(D751:R751)</f>
        <v>20</v>
      </c>
      <c r="D751" s="31">
        <v>20</v>
      </c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29">
        <f>YEAR(Tabla2[[#This Row],[Fecha]])</f>
        <v>2025</v>
      </c>
    </row>
    <row r="752" spans="1:19">
      <c r="A752" s="27">
        <v>45827</v>
      </c>
      <c r="B752" s="27" t="s">
        <v>58</v>
      </c>
      <c r="C752" s="30">
        <f>SUM(D752:R752)</f>
        <v>14</v>
      </c>
      <c r="D752" s="31">
        <v>14</v>
      </c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29">
        <f>YEAR(Tabla2[[#This Row],[Fecha]])</f>
        <v>2025</v>
      </c>
    </row>
    <row r="753" spans="1:19">
      <c r="A753" s="27">
        <v>45828</v>
      </c>
      <c r="B753" s="27" t="s">
        <v>25</v>
      </c>
      <c r="C753" s="30">
        <f>SUM(D753:R753)</f>
        <v>37</v>
      </c>
      <c r="D753" s="31">
        <v>9</v>
      </c>
      <c r="E753" s="31">
        <v>10</v>
      </c>
      <c r="F753" s="31">
        <v>5</v>
      </c>
      <c r="G753" s="31">
        <v>8</v>
      </c>
      <c r="H753" s="31">
        <v>5</v>
      </c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29">
        <f>YEAR(Tabla2[[#This Row],[Fecha]])</f>
        <v>2025</v>
      </c>
    </row>
    <row r="754" spans="1:19">
      <c r="A754" s="27">
        <v>45828</v>
      </c>
      <c r="B754" s="27" t="s">
        <v>23</v>
      </c>
      <c r="C754" s="30">
        <f>SUM(D754:R754)</f>
        <v>22</v>
      </c>
      <c r="D754" s="31">
        <v>22</v>
      </c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29">
        <f>YEAR(Tabla2[[#This Row],[Fecha]])</f>
        <v>2025</v>
      </c>
    </row>
    <row r="755" spans="1:19">
      <c r="A755" s="27">
        <v>45828</v>
      </c>
      <c r="B755" s="27" t="s">
        <v>31</v>
      </c>
      <c r="C755" s="30">
        <f>SUM(D755:R755)</f>
        <v>12</v>
      </c>
      <c r="D755" s="31">
        <v>2</v>
      </c>
      <c r="E755" s="31">
        <v>5</v>
      </c>
      <c r="F755" s="31">
        <v>5</v>
      </c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29">
        <f>YEAR(Tabla2[[#This Row],[Fecha]])</f>
        <v>2025</v>
      </c>
    </row>
    <row r="756" spans="1:19">
      <c r="A756" s="27">
        <v>45831</v>
      </c>
      <c r="B756" s="27" t="s">
        <v>25</v>
      </c>
      <c r="C756" s="30">
        <f>SUM(D756:R756)</f>
        <v>30</v>
      </c>
      <c r="D756" s="31">
        <v>10</v>
      </c>
      <c r="E756" s="31">
        <v>8</v>
      </c>
      <c r="F756" s="31">
        <v>4</v>
      </c>
      <c r="G756" s="31">
        <v>5</v>
      </c>
      <c r="H756" s="31">
        <v>3</v>
      </c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29">
        <f>YEAR(Tabla2[[#This Row],[Fecha]])</f>
        <v>2025</v>
      </c>
    </row>
    <row r="757" spans="1:19">
      <c r="A757" s="27">
        <v>45831</v>
      </c>
      <c r="B757" s="27" t="s">
        <v>44</v>
      </c>
      <c r="C757" s="30">
        <f>SUM(D757:R757)</f>
        <v>9</v>
      </c>
      <c r="D757" s="31">
        <v>9</v>
      </c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29">
        <f>YEAR(Tabla2[[#This Row],[Fecha]])</f>
        <v>2025</v>
      </c>
    </row>
    <row r="758" spans="1:19">
      <c r="A758" s="27">
        <v>45832</v>
      </c>
      <c r="B758" s="27" t="s">
        <v>25</v>
      </c>
      <c r="C758" s="30">
        <f>SUM(D758:R758)</f>
        <v>26</v>
      </c>
      <c r="D758" s="31">
        <v>3</v>
      </c>
      <c r="E758" s="31">
        <v>6</v>
      </c>
      <c r="F758" s="31">
        <v>5</v>
      </c>
      <c r="G758" s="31">
        <v>3</v>
      </c>
      <c r="H758" s="31">
        <v>8</v>
      </c>
      <c r="I758" s="31">
        <v>1</v>
      </c>
      <c r="J758" s="31"/>
      <c r="K758" s="31"/>
      <c r="L758" s="31"/>
      <c r="M758" s="31"/>
      <c r="N758" s="31"/>
      <c r="O758" s="31"/>
      <c r="P758" s="31"/>
      <c r="Q758" s="31"/>
      <c r="R758" s="31"/>
      <c r="S758" s="29">
        <f>YEAR(Tabla2[[#This Row],[Fecha]])</f>
        <v>2025</v>
      </c>
    </row>
    <row r="759" spans="1:19">
      <c r="A759" s="27">
        <v>45832</v>
      </c>
      <c r="B759" s="27" t="s">
        <v>63</v>
      </c>
      <c r="C759" s="30">
        <f>SUM(D759:R759)</f>
        <v>21</v>
      </c>
      <c r="D759" s="31">
        <v>3</v>
      </c>
      <c r="E759" s="31">
        <v>8</v>
      </c>
      <c r="F759" s="31">
        <v>10</v>
      </c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29">
        <f>YEAR(Tabla2[[#This Row],[Fecha]])</f>
        <v>2025</v>
      </c>
    </row>
    <row r="760" spans="1:19">
      <c r="A760" s="27">
        <v>45832</v>
      </c>
      <c r="B760" s="27" t="s">
        <v>23</v>
      </c>
      <c r="C760" s="30">
        <f>SUM(D760:R760)</f>
        <v>20</v>
      </c>
      <c r="D760" s="31">
        <v>20</v>
      </c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29">
        <f>YEAR(Tabla2[[#This Row],[Fecha]])</f>
        <v>2025</v>
      </c>
    </row>
    <row r="761" spans="1:19">
      <c r="A761" s="27">
        <v>45833</v>
      </c>
      <c r="B761" s="27" t="s">
        <v>63</v>
      </c>
      <c r="C761" s="30">
        <f>SUM(D761:R761)</f>
        <v>34</v>
      </c>
      <c r="D761" s="31">
        <v>5</v>
      </c>
      <c r="E761" s="31">
        <v>9</v>
      </c>
      <c r="F761" s="31">
        <v>4</v>
      </c>
      <c r="G761" s="31">
        <v>10</v>
      </c>
      <c r="H761" s="31">
        <v>6</v>
      </c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29">
        <f>YEAR(Tabla2[[#This Row],[Fecha]])</f>
        <v>2025</v>
      </c>
    </row>
    <row r="762" spans="1:19">
      <c r="A762" s="27">
        <v>45833</v>
      </c>
      <c r="B762" s="27" t="s">
        <v>23</v>
      </c>
      <c r="C762" s="30">
        <f>SUM(D762:R762)</f>
        <v>20</v>
      </c>
      <c r="D762" s="31">
        <v>20</v>
      </c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29">
        <f>YEAR(Tabla2[[#This Row],[Fecha]])</f>
        <v>2025</v>
      </c>
    </row>
    <row r="763" spans="1:19">
      <c r="A763" s="27">
        <v>45833</v>
      </c>
      <c r="B763" s="27" t="s">
        <v>64</v>
      </c>
      <c r="C763" s="30">
        <f>SUM(D763:R763)</f>
        <v>16</v>
      </c>
      <c r="D763" s="31">
        <v>16</v>
      </c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29">
        <f>YEAR(Tabla2[[#This Row],[Fecha]])</f>
        <v>2025</v>
      </c>
    </row>
    <row r="764" spans="1:19">
      <c r="A764" s="27">
        <v>45834</v>
      </c>
      <c r="B764" s="27" t="s">
        <v>63</v>
      </c>
      <c r="C764" s="30">
        <f>SUM(D764:R764)</f>
        <v>39</v>
      </c>
      <c r="D764" s="31">
        <v>8</v>
      </c>
      <c r="E764" s="31">
        <v>6</v>
      </c>
      <c r="F764" s="31">
        <v>4</v>
      </c>
      <c r="G764" s="31">
        <v>5</v>
      </c>
      <c r="H764" s="31">
        <v>10</v>
      </c>
      <c r="I764" s="31">
        <v>6</v>
      </c>
      <c r="J764" s="31"/>
      <c r="K764" s="31"/>
      <c r="L764" s="31"/>
      <c r="M764" s="31"/>
      <c r="N764" s="31"/>
      <c r="O764" s="31"/>
      <c r="P764" s="31"/>
      <c r="Q764" s="31"/>
      <c r="R764" s="31"/>
      <c r="S764" s="29">
        <f>YEAR(Tabla2[[#This Row],[Fecha]])</f>
        <v>2025</v>
      </c>
    </row>
    <row r="765" spans="1:19">
      <c r="A765" s="27">
        <v>45834</v>
      </c>
      <c r="B765" s="27" t="s">
        <v>64</v>
      </c>
      <c r="C765" s="30">
        <f>SUM(D765:R765)</f>
        <v>25</v>
      </c>
      <c r="D765" s="31">
        <v>14</v>
      </c>
      <c r="E765" s="31">
        <v>11</v>
      </c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29">
        <f>YEAR(Tabla2[[#This Row],[Fecha]])</f>
        <v>2025</v>
      </c>
    </row>
    <row r="766" spans="1:19">
      <c r="A766" s="27">
        <v>45835</v>
      </c>
      <c r="B766" s="27" t="s">
        <v>63</v>
      </c>
      <c r="C766" s="30">
        <f>SUM(D766:R766)</f>
        <v>34</v>
      </c>
      <c r="D766" s="31">
        <v>7</v>
      </c>
      <c r="E766" s="31">
        <v>8</v>
      </c>
      <c r="F766" s="31">
        <v>6</v>
      </c>
      <c r="G766" s="31">
        <v>7</v>
      </c>
      <c r="H766" s="31">
        <v>6</v>
      </c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29">
        <f>YEAR(Tabla2[[#This Row],[Fecha]])</f>
        <v>2025</v>
      </c>
    </row>
    <row r="767" spans="1:19">
      <c r="A767" s="27">
        <v>45835</v>
      </c>
      <c r="B767" s="27" t="s">
        <v>64</v>
      </c>
      <c r="C767" s="30">
        <f>SUM(D767:R767)</f>
        <v>30</v>
      </c>
      <c r="D767" s="31">
        <v>15</v>
      </c>
      <c r="E767" s="31">
        <v>15</v>
      </c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29">
        <f>YEAR(Tabla2[[#This Row],[Fecha]])</f>
        <v>2025</v>
      </c>
    </row>
    <row r="768" spans="1:19">
      <c r="A768" s="27">
        <v>45839</v>
      </c>
      <c r="B768" s="27" t="s">
        <v>63</v>
      </c>
      <c r="C768" s="30">
        <f>SUM(D768:R768)</f>
        <v>36</v>
      </c>
      <c r="D768" s="31">
        <v>4</v>
      </c>
      <c r="E768" s="31">
        <v>6</v>
      </c>
      <c r="F768" s="31">
        <v>5</v>
      </c>
      <c r="G768" s="31">
        <v>4</v>
      </c>
      <c r="H768" s="31">
        <v>6</v>
      </c>
      <c r="I768" s="31">
        <v>4</v>
      </c>
      <c r="J768" s="31">
        <v>7</v>
      </c>
      <c r="K768" s="31"/>
      <c r="L768" s="31"/>
      <c r="M768" s="31"/>
      <c r="N768" s="31"/>
      <c r="O768" s="31"/>
      <c r="P768" s="31"/>
      <c r="Q768" s="31"/>
      <c r="R768" s="31"/>
      <c r="S768" s="29">
        <f>YEAR(Tabla2[[#This Row],[Fecha]])</f>
        <v>2025</v>
      </c>
    </row>
    <row r="769" spans="1:19">
      <c r="A769" s="27">
        <v>45845</v>
      </c>
      <c r="B769" s="27" t="s">
        <v>63</v>
      </c>
      <c r="C769" s="30">
        <f>SUM(D769:R769)</f>
        <v>32</v>
      </c>
      <c r="D769" s="31">
        <v>7</v>
      </c>
      <c r="E769" s="31">
        <v>3</v>
      </c>
      <c r="F769" s="31">
        <v>4</v>
      </c>
      <c r="G769" s="31">
        <v>3</v>
      </c>
      <c r="H769" s="31">
        <v>9</v>
      </c>
      <c r="I769" s="31">
        <v>6</v>
      </c>
      <c r="J769" s="31"/>
      <c r="K769" s="31"/>
      <c r="L769" s="31"/>
      <c r="M769" s="31"/>
      <c r="N769" s="31"/>
      <c r="O769" s="31"/>
      <c r="P769" s="31"/>
      <c r="Q769" s="31"/>
      <c r="R769" s="31"/>
      <c r="S769" s="29">
        <f>YEAR(Tabla2[[#This Row],[Fecha]])</f>
        <v>2025</v>
      </c>
    </row>
    <row r="770" spans="1:19">
      <c r="A770" s="27">
        <v>45845</v>
      </c>
      <c r="B770" s="27" t="s">
        <v>65</v>
      </c>
      <c r="C770" s="30">
        <f>SUM(D770:R770)</f>
        <v>33</v>
      </c>
      <c r="D770" s="31">
        <v>2</v>
      </c>
      <c r="E770" s="31">
        <v>3</v>
      </c>
      <c r="F770" s="31">
        <v>1</v>
      </c>
      <c r="G770" s="31">
        <v>3</v>
      </c>
      <c r="H770" s="31">
        <v>3</v>
      </c>
      <c r="I770" s="31">
        <v>1</v>
      </c>
      <c r="J770" s="31">
        <v>7</v>
      </c>
      <c r="K770" s="31">
        <v>7</v>
      </c>
      <c r="L770" s="31">
        <v>6</v>
      </c>
      <c r="M770" s="31"/>
      <c r="N770" s="31"/>
      <c r="O770" s="31"/>
      <c r="P770" s="31"/>
      <c r="Q770" s="31"/>
      <c r="R770" s="31"/>
      <c r="S770" s="29">
        <f>YEAR(Tabla2[[#This Row],[Fecha]])</f>
        <v>2025</v>
      </c>
    </row>
    <row r="771" spans="1:19">
      <c r="A771" s="27">
        <v>45846</v>
      </c>
      <c r="B771" s="27" t="s">
        <v>36</v>
      </c>
      <c r="C771" s="30">
        <f>SUM(D771:R771)</f>
        <v>32</v>
      </c>
      <c r="D771" s="31">
        <v>5</v>
      </c>
      <c r="E771" s="31">
        <v>6</v>
      </c>
      <c r="F771" s="31">
        <v>7</v>
      </c>
      <c r="G771" s="31">
        <v>9</v>
      </c>
      <c r="H771" s="31">
        <v>5</v>
      </c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29">
        <f>YEAR(Tabla2[[#This Row],[Fecha]])</f>
        <v>2025</v>
      </c>
    </row>
    <row r="772" spans="1:19">
      <c r="A772" s="27">
        <v>45846</v>
      </c>
      <c r="B772" s="27" t="s">
        <v>63</v>
      </c>
      <c r="C772" s="30">
        <f>SUM(D772:R772)</f>
        <v>29</v>
      </c>
      <c r="D772" s="31">
        <v>3</v>
      </c>
      <c r="E772" s="31">
        <v>7</v>
      </c>
      <c r="F772" s="31">
        <v>6</v>
      </c>
      <c r="G772" s="31">
        <v>8</v>
      </c>
      <c r="H772" s="31">
        <v>5</v>
      </c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29">
        <f>YEAR(Tabla2[[#This Row],[Fecha]])</f>
        <v>2025</v>
      </c>
    </row>
    <row r="773" spans="1:19">
      <c r="A773" s="27">
        <v>45847</v>
      </c>
      <c r="B773" s="27" t="s">
        <v>36</v>
      </c>
      <c r="C773" s="30">
        <f>SUM(D773:R773)</f>
        <v>34</v>
      </c>
      <c r="D773" s="31">
        <v>11</v>
      </c>
      <c r="E773" s="31">
        <v>7</v>
      </c>
      <c r="F773" s="31">
        <v>7</v>
      </c>
      <c r="G773" s="31">
        <v>9</v>
      </c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29">
        <f>YEAR(Tabla2[[#This Row],[Fecha]])</f>
        <v>2025</v>
      </c>
    </row>
    <row r="774" spans="1:19">
      <c r="A774" s="27">
        <v>45847</v>
      </c>
      <c r="B774" s="27" t="s">
        <v>63</v>
      </c>
      <c r="C774" s="30">
        <f>SUM(D774:R774)</f>
        <v>29</v>
      </c>
      <c r="D774" s="31">
        <v>10</v>
      </c>
      <c r="E774" s="31">
        <v>10</v>
      </c>
      <c r="F774" s="31">
        <v>9</v>
      </c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29">
        <f>YEAR(Tabla2[[#This Row],[Fecha]])</f>
        <v>2025</v>
      </c>
    </row>
    <row r="775" spans="1:19">
      <c r="A775" s="27">
        <v>45848</v>
      </c>
      <c r="B775" s="27" t="s">
        <v>36</v>
      </c>
      <c r="C775" s="30">
        <f>SUM(D775:R775)</f>
        <v>38</v>
      </c>
      <c r="D775" s="31">
        <v>9</v>
      </c>
      <c r="E775" s="31">
        <v>9</v>
      </c>
      <c r="F775" s="31">
        <v>8</v>
      </c>
      <c r="G775" s="31">
        <v>12</v>
      </c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29">
        <f>YEAR(Tabla2[[#This Row],[Fecha]])</f>
        <v>2025</v>
      </c>
    </row>
    <row r="776" spans="1:19">
      <c r="A776" s="27">
        <v>45848</v>
      </c>
      <c r="B776" s="27" t="s">
        <v>63</v>
      </c>
      <c r="C776" s="30">
        <f>SUM(D776:R776)</f>
        <v>31</v>
      </c>
      <c r="D776" s="31">
        <v>10</v>
      </c>
      <c r="E776" s="31">
        <v>4</v>
      </c>
      <c r="F776" s="31">
        <v>6</v>
      </c>
      <c r="G776" s="31">
        <v>6</v>
      </c>
      <c r="H776" s="31">
        <v>5</v>
      </c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29">
        <f>YEAR(Tabla2[[#This Row],[Fecha]])</f>
        <v>2025</v>
      </c>
    </row>
    <row r="777" spans="1:19">
      <c r="A777" s="27">
        <v>45849</v>
      </c>
      <c r="B777" s="27" t="s">
        <v>36</v>
      </c>
      <c r="C777" s="30">
        <f>SUM(D777:R777)</f>
        <v>33</v>
      </c>
      <c r="D777" s="31">
        <v>6</v>
      </c>
      <c r="E777" s="31">
        <v>7</v>
      </c>
      <c r="F777" s="31">
        <v>8</v>
      </c>
      <c r="G777" s="31">
        <v>4</v>
      </c>
      <c r="H777" s="31">
        <v>4</v>
      </c>
      <c r="I777" s="31">
        <v>4</v>
      </c>
      <c r="J777" s="31"/>
      <c r="K777" s="31"/>
      <c r="L777" s="31"/>
      <c r="M777" s="31"/>
      <c r="N777" s="31"/>
      <c r="O777" s="31"/>
      <c r="P777" s="31"/>
      <c r="Q777" s="31"/>
      <c r="R777" s="31"/>
      <c r="S777" s="29">
        <f>YEAR(Tabla2[[#This Row],[Fecha]])</f>
        <v>2025</v>
      </c>
    </row>
    <row r="778" spans="1:19">
      <c r="A778" s="27">
        <v>45849</v>
      </c>
      <c r="B778" s="27" t="s">
        <v>63</v>
      </c>
      <c r="C778" s="30">
        <f>SUM(D778:R778)</f>
        <v>31</v>
      </c>
      <c r="D778" s="31">
        <v>6</v>
      </c>
      <c r="E778" s="31">
        <v>11</v>
      </c>
      <c r="F778" s="31">
        <v>9</v>
      </c>
      <c r="G778" s="31">
        <v>5</v>
      </c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29">
        <f>YEAR(Tabla2[[#This Row],[Fecha]])</f>
        <v>2025</v>
      </c>
    </row>
    <row r="779" spans="1:19">
      <c r="A779" s="27">
        <v>45849</v>
      </c>
      <c r="B779" s="27" t="s">
        <v>41</v>
      </c>
      <c r="C779" s="30">
        <f>SUM(D779:R779)</f>
        <v>19</v>
      </c>
      <c r="D779" s="31">
        <v>5</v>
      </c>
      <c r="E779" s="31">
        <v>3</v>
      </c>
      <c r="F779" s="31">
        <v>11</v>
      </c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29">
        <f>YEAR(Tabla2[[#This Row],[Fecha]])</f>
        <v>2025</v>
      </c>
    </row>
    <row r="780" spans="1:19">
      <c r="A780" s="27">
        <v>45859</v>
      </c>
      <c r="B780" s="27" t="s">
        <v>63</v>
      </c>
      <c r="C780" s="30">
        <f>SUM(D780:R780)</f>
        <v>35</v>
      </c>
      <c r="D780" s="31">
        <v>6</v>
      </c>
      <c r="E780" s="31">
        <v>4</v>
      </c>
      <c r="F780" s="31">
        <v>3</v>
      </c>
      <c r="G780" s="31">
        <v>5</v>
      </c>
      <c r="H780" s="31">
        <v>5</v>
      </c>
      <c r="I780" s="31">
        <v>3</v>
      </c>
      <c r="J780" s="31">
        <v>6</v>
      </c>
      <c r="K780" s="31">
        <v>1</v>
      </c>
      <c r="L780" s="31">
        <v>2</v>
      </c>
      <c r="M780" s="31"/>
      <c r="N780" s="31"/>
      <c r="O780" s="31"/>
      <c r="P780" s="31"/>
      <c r="Q780" s="31"/>
      <c r="R780" s="31"/>
      <c r="S780" s="29">
        <f>YEAR(Tabla2[[#This Row],[Fecha]])</f>
        <v>2025</v>
      </c>
    </row>
    <row r="781" spans="1:19">
      <c r="A781" s="27">
        <v>45862</v>
      </c>
      <c r="B781" s="27" t="s">
        <v>50</v>
      </c>
      <c r="C781" s="30">
        <f>SUM(D781:R781)</f>
        <v>31</v>
      </c>
      <c r="D781" s="31">
        <v>2</v>
      </c>
      <c r="E781" s="31">
        <v>11</v>
      </c>
      <c r="F781" s="31">
        <v>4</v>
      </c>
      <c r="G781" s="31">
        <v>14</v>
      </c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29">
        <f>YEAR(Tabla2[[#This Row],[Fecha]])</f>
        <v>2025</v>
      </c>
    </row>
    <row r="782" spans="1:19">
      <c r="A782" s="27">
        <v>45866</v>
      </c>
      <c r="B782" s="27" t="s">
        <v>50</v>
      </c>
      <c r="C782" s="30">
        <f>SUM(D782:R782)</f>
        <v>37</v>
      </c>
      <c r="D782" s="31">
        <v>8</v>
      </c>
      <c r="E782" s="31">
        <v>7</v>
      </c>
      <c r="F782" s="31">
        <v>4</v>
      </c>
      <c r="G782" s="31">
        <v>7</v>
      </c>
      <c r="H782" s="31">
        <v>1</v>
      </c>
      <c r="I782" s="31">
        <v>1</v>
      </c>
      <c r="J782" s="31">
        <v>9</v>
      </c>
      <c r="K782" s="31"/>
      <c r="L782" s="31"/>
      <c r="M782" s="31"/>
      <c r="N782" s="31"/>
      <c r="O782" s="31"/>
      <c r="P782" s="31"/>
      <c r="Q782" s="31"/>
      <c r="R782" s="31"/>
      <c r="S782" s="29">
        <f>YEAR(Tabla2[[#This Row],[Fecha]])</f>
        <v>2025</v>
      </c>
    </row>
    <row r="783" spans="1:19">
      <c r="A783" s="27">
        <v>45866</v>
      </c>
      <c r="B783" s="27" t="s">
        <v>36</v>
      </c>
      <c r="C783" s="30">
        <f>SUM(D783:R783)</f>
        <v>32</v>
      </c>
      <c r="D783" s="31">
        <v>4</v>
      </c>
      <c r="E783" s="31">
        <v>9</v>
      </c>
      <c r="F783" s="31">
        <v>6</v>
      </c>
      <c r="G783" s="31">
        <v>6</v>
      </c>
      <c r="H783" s="31">
        <v>7</v>
      </c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29">
        <f>YEAR(Tabla2[[#This Row],[Fecha]])</f>
        <v>2025</v>
      </c>
    </row>
    <row r="784" spans="1:19">
      <c r="A784" s="27">
        <v>45867</v>
      </c>
      <c r="B784" s="27" t="s">
        <v>50</v>
      </c>
      <c r="C784" s="30">
        <f>SUM(D784:R784)</f>
        <v>31</v>
      </c>
      <c r="D784" s="31">
        <v>8</v>
      </c>
      <c r="E784" s="31">
        <v>7</v>
      </c>
      <c r="F784" s="31">
        <v>10</v>
      </c>
      <c r="G784" s="31">
        <v>6</v>
      </c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29">
        <f>YEAR(Tabla2[[#This Row],[Fecha]])</f>
        <v>2025</v>
      </c>
    </row>
    <row r="785" spans="1:19">
      <c r="A785" s="27">
        <v>45867</v>
      </c>
      <c r="B785" s="27" t="s">
        <v>36</v>
      </c>
      <c r="C785" s="30">
        <f>SUM(D785:R785)</f>
        <v>38</v>
      </c>
      <c r="D785" s="31">
        <v>8</v>
      </c>
      <c r="E785" s="31">
        <v>7</v>
      </c>
      <c r="F785" s="31">
        <v>5</v>
      </c>
      <c r="G785" s="31">
        <v>8</v>
      </c>
      <c r="H785" s="31">
        <v>10</v>
      </c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29">
        <f>YEAR(Tabla2[[#This Row],[Fecha]])</f>
        <v>2025</v>
      </c>
    </row>
    <row r="786" spans="1:19">
      <c r="A786" s="27">
        <v>45868</v>
      </c>
      <c r="B786" s="27" t="s">
        <v>50</v>
      </c>
      <c r="C786" s="30">
        <f>SUM(D786:R786)</f>
        <v>31</v>
      </c>
      <c r="D786" s="31">
        <v>7</v>
      </c>
      <c r="E786" s="31">
        <v>1</v>
      </c>
      <c r="F786" s="31">
        <v>9</v>
      </c>
      <c r="G786" s="31">
        <v>6</v>
      </c>
      <c r="H786" s="31">
        <v>8</v>
      </c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29">
        <f>YEAR(Tabla2[[#This Row],[Fecha]])</f>
        <v>2025</v>
      </c>
    </row>
    <row r="787" spans="1:19">
      <c r="A787" s="27">
        <v>45868</v>
      </c>
      <c r="B787" s="27" t="s">
        <v>36</v>
      </c>
      <c r="C787" s="30">
        <f>SUM(D787:R787)</f>
        <v>35</v>
      </c>
      <c r="D787" s="31">
        <v>8</v>
      </c>
      <c r="E787" s="31">
        <v>12</v>
      </c>
      <c r="F787" s="31">
        <v>6</v>
      </c>
      <c r="G787" s="31">
        <v>9</v>
      </c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29">
        <f>YEAR(Tabla2[[#This Row],[Fecha]])</f>
        <v>2025</v>
      </c>
    </row>
    <row r="788" spans="1:19">
      <c r="A788" s="27">
        <v>45870</v>
      </c>
      <c r="B788" s="27" t="s">
        <v>50</v>
      </c>
      <c r="C788" s="30">
        <f>SUM(D788:R788)</f>
        <v>10</v>
      </c>
      <c r="D788" s="31">
        <v>10</v>
      </c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29">
        <f>YEAR(Tabla2[[#This Row],[Fecha]])</f>
        <v>2025</v>
      </c>
    </row>
    <row r="789" spans="1:19">
      <c r="A789" s="27">
        <v>45870</v>
      </c>
      <c r="B789" s="27" t="s">
        <v>36</v>
      </c>
      <c r="C789" s="30">
        <f>SUM(D789:R789)</f>
        <v>22</v>
      </c>
      <c r="D789" s="31">
        <v>8</v>
      </c>
      <c r="E789" s="31">
        <v>4</v>
      </c>
      <c r="F789" s="31">
        <v>10</v>
      </c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29">
        <f>YEAR(Tabla2[[#This Row],[Fecha]])</f>
        <v>2025</v>
      </c>
    </row>
    <row r="790" spans="1:19">
      <c r="A790" s="27">
        <v>45870</v>
      </c>
      <c r="B790" s="27" t="s">
        <v>65</v>
      </c>
      <c r="C790" s="30">
        <f>SUM(D790:R790)</f>
        <v>39</v>
      </c>
      <c r="D790" s="31">
        <v>8</v>
      </c>
      <c r="E790" s="31">
        <v>1</v>
      </c>
      <c r="F790" s="31">
        <v>11</v>
      </c>
      <c r="G790" s="31">
        <v>19</v>
      </c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29">
        <f>YEAR(Tabla2[[#This Row],[Fecha]])</f>
        <v>2025</v>
      </c>
    </row>
    <row r="791" spans="1:19">
      <c r="A791" s="27">
        <v>45873</v>
      </c>
      <c r="B791" s="27" t="s">
        <v>36</v>
      </c>
      <c r="C791" s="30">
        <f>SUM(D791:R791)</f>
        <v>16</v>
      </c>
      <c r="D791" s="31">
        <v>10</v>
      </c>
      <c r="E791" s="31">
        <v>6</v>
      </c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29">
        <f>YEAR(Tabla2[[#This Row],[Fecha]])</f>
        <v>2025</v>
      </c>
    </row>
    <row r="792" spans="1:19">
      <c r="A792" s="27">
        <v>45873</v>
      </c>
      <c r="B792" s="27" t="s">
        <v>65</v>
      </c>
      <c r="C792" s="30">
        <f>SUM(D792:R792)</f>
        <v>31</v>
      </c>
      <c r="D792" s="31">
        <v>2</v>
      </c>
      <c r="E792" s="31">
        <v>8</v>
      </c>
      <c r="F792" s="31">
        <v>3</v>
      </c>
      <c r="G792" s="31">
        <v>9</v>
      </c>
      <c r="H792" s="31">
        <v>9</v>
      </c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29">
        <f>YEAR(Tabla2[[#This Row],[Fecha]])</f>
        <v>2025</v>
      </c>
    </row>
    <row r="793" spans="1:19">
      <c r="A793" s="27">
        <v>45874</v>
      </c>
      <c r="B793" s="27" t="s">
        <v>65</v>
      </c>
      <c r="C793" s="30">
        <f>SUM(D793:R793)</f>
        <v>33</v>
      </c>
      <c r="D793" s="31">
        <v>33</v>
      </c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29">
        <f>YEAR(Tabla2[[#This Row],[Fecha]])</f>
        <v>2025</v>
      </c>
    </row>
    <row r="794" spans="1:19">
      <c r="A794" s="27">
        <v>45875</v>
      </c>
      <c r="B794" s="27" t="s">
        <v>65</v>
      </c>
      <c r="C794" s="30">
        <f>SUM(D794:R794)</f>
        <v>60</v>
      </c>
      <c r="D794" s="31">
        <v>16</v>
      </c>
      <c r="E794" s="31">
        <v>13</v>
      </c>
      <c r="F794" s="31">
        <v>18</v>
      </c>
      <c r="G794" s="31">
        <v>4</v>
      </c>
      <c r="H794" s="31">
        <v>3</v>
      </c>
      <c r="I794" s="31">
        <v>3</v>
      </c>
      <c r="J794" s="31">
        <v>3</v>
      </c>
      <c r="K794" s="31"/>
      <c r="L794" s="31"/>
      <c r="M794" s="31"/>
      <c r="N794" s="31"/>
      <c r="O794" s="31"/>
      <c r="P794" s="31"/>
      <c r="Q794" s="31"/>
      <c r="R794" s="31"/>
      <c r="S794" s="29">
        <f>YEAR(Tabla2[[#This Row],[Fecha]])</f>
        <v>2025</v>
      </c>
    </row>
    <row r="795" spans="1:19">
      <c r="A795" s="27">
        <v>45880</v>
      </c>
      <c r="B795" s="27" t="s">
        <v>31</v>
      </c>
      <c r="C795" s="30">
        <f>SUM(D795:R795)</f>
        <v>36</v>
      </c>
      <c r="D795" s="31">
        <v>2</v>
      </c>
      <c r="E795" s="31">
        <v>11</v>
      </c>
      <c r="F795" s="31">
        <v>6</v>
      </c>
      <c r="G795" s="31">
        <v>9</v>
      </c>
      <c r="H795" s="31">
        <v>8</v>
      </c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29">
        <f>YEAR(Tabla2[[#This Row],[Fecha]])</f>
        <v>2025</v>
      </c>
    </row>
    <row r="796" spans="1:19">
      <c r="A796" s="27">
        <v>45888</v>
      </c>
      <c r="B796" s="27" t="s">
        <v>65</v>
      </c>
      <c r="C796" s="30">
        <f>SUM(D796:R796)</f>
        <v>4</v>
      </c>
      <c r="D796" s="31">
        <v>4</v>
      </c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29">
        <f>YEAR(Tabla2[[#This Row],[Fecha]])</f>
        <v>2025</v>
      </c>
    </row>
    <row r="797" spans="1:19">
      <c r="A797" s="27">
        <v>45889</v>
      </c>
      <c r="B797" s="27" t="s">
        <v>65</v>
      </c>
      <c r="C797" s="30">
        <f>SUM(D797:R797)</f>
        <v>35</v>
      </c>
      <c r="D797" s="31">
        <v>5</v>
      </c>
      <c r="E797" s="31">
        <v>5</v>
      </c>
      <c r="F797" s="31">
        <v>3</v>
      </c>
      <c r="G797" s="31">
        <v>4</v>
      </c>
      <c r="H797" s="31">
        <v>3</v>
      </c>
      <c r="I797" s="31">
        <v>9</v>
      </c>
      <c r="J797" s="31">
        <v>6</v>
      </c>
      <c r="K797" s="31"/>
      <c r="L797" s="31"/>
      <c r="M797" s="31"/>
      <c r="N797" s="31"/>
      <c r="O797" s="31"/>
      <c r="P797" s="31"/>
      <c r="Q797" s="31"/>
      <c r="R797" s="31"/>
      <c r="S797" s="29">
        <f>YEAR(Tabla2[[#This Row],[Fecha]])</f>
        <v>2025</v>
      </c>
    </row>
    <row r="798" spans="1:19">
      <c r="A798" s="27">
        <v>45895</v>
      </c>
      <c r="B798" s="27" t="s">
        <v>65</v>
      </c>
      <c r="C798" s="30">
        <f>SUM(D798:R798)</f>
        <v>17</v>
      </c>
      <c r="D798" s="31">
        <v>4</v>
      </c>
      <c r="E798" s="31">
        <v>8</v>
      </c>
      <c r="F798" s="31">
        <v>5</v>
      </c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29">
        <f>YEAR(Tabla2[[#This Row],[Fecha]])</f>
        <v>2025</v>
      </c>
    </row>
    <row r="799" spans="1:19">
      <c r="A799" s="27">
        <v>45902</v>
      </c>
      <c r="B799" s="27" t="s">
        <v>51</v>
      </c>
      <c r="C799" s="30">
        <f>SUM(D799:R799)</f>
        <v>4</v>
      </c>
      <c r="D799" s="31">
        <v>4</v>
      </c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29">
        <f>YEAR(Tabla2[[#This Row],[Fecha]])</f>
        <v>2025</v>
      </c>
    </row>
    <row r="800" spans="1:19">
      <c r="A800" s="27">
        <v>45909</v>
      </c>
      <c r="B800" s="27" t="s">
        <v>65</v>
      </c>
      <c r="C800" s="30">
        <f>SUM(D800:R800)</f>
        <v>61</v>
      </c>
      <c r="D800" s="31">
        <v>15</v>
      </c>
      <c r="E800" s="31">
        <v>3</v>
      </c>
      <c r="F800" s="31">
        <v>3</v>
      </c>
      <c r="G800" s="31">
        <v>3</v>
      </c>
      <c r="H800" s="31">
        <v>5</v>
      </c>
      <c r="I800" s="31">
        <v>3</v>
      </c>
      <c r="J800" s="31">
        <v>12</v>
      </c>
      <c r="K800" s="31">
        <v>12</v>
      </c>
      <c r="L800" s="31">
        <v>5</v>
      </c>
      <c r="M800" s="31"/>
      <c r="N800" s="31"/>
      <c r="O800" s="31"/>
      <c r="P800" s="31"/>
      <c r="Q800" s="31"/>
      <c r="R800" s="31"/>
      <c r="S800" s="29">
        <f>YEAR(Tabla2[[#This Row],[Fecha]])</f>
        <v>2025</v>
      </c>
    </row>
    <row r="801" spans="1:19">
      <c r="A801" s="27">
        <v>45910</v>
      </c>
      <c r="B801" s="27" t="s">
        <v>65</v>
      </c>
      <c r="C801" s="40">
        <f>SUM(D801:R801)</f>
        <v>36</v>
      </c>
      <c r="D801" s="31">
        <v>3</v>
      </c>
      <c r="E801" s="31">
        <v>5</v>
      </c>
      <c r="F801" s="31">
        <v>1</v>
      </c>
      <c r="G801" s="31">
        <v>2</v>
      </c>
      <c r="H801" s="31">
        <v>2</v>
      </c>
      <c r="I801" s="31">
        <v>2</v>
      </c>
      <c r="J801" s="31">
        <v>2</v>
      </c>
      <c r="K801" s="31">
        <v>2</v>
      </c>
      <c r="L801" s="31">
        <v>2</v>
      </c>
      <c r="M801" s="31">
        <v>2</v>
      </c>
      <c r="N801" s="31">
        <v>2</v>
      </c>
      <c r="O801" s="31">
        <v>2</v>
      </c>
      <c r="P801" s="31">
        <v>2</v>
      </c>
      <c r="Q801" s="31">
        <v>4</v>
      </c>
      <c r="R801" s="31">
        <v>3</v>
      </c>
      <c r="S801" s="29">
        <f>YEAR(Tabla2[[#This Row],[Fecha]])</f>
        <v>2025</v>
      </c>
    </row>
  </sheetData>
  <dataValidations count="1">
    <dataValidation type="list" allowBlank="1" showInputMessage="1" showErrorMessage="1" sqref="B2:B799 B800:B801 B802:B1048576">
      <formula1>tecnologias</formula1>
    </dataValidation>
  </dataValidations>
  <pageMargins left="0.7" right="0.7" top="0.75" bottom="0.75" header="0.3" footer="0.3"/>
  <pageSetup paperSize="9" orientation="portrait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J12" sqref="J12"/>
    </sheetView>
  </sheetViews>
  <sheetFormatPr defaultColWidth="9" defaultRowHeight="15" outlineLevelCol="7"/>
  <cols>
    <col min="1" max="1" width="10.447619047619" customWidth="1"/>
    <col min="2" max="2" width="13.6666666666667" customWidth="1"/>
    <col min="3" max="3" width="10.552380952381" customWidth="1"/>
    <col min="4" max="4" width="10.7809523809524" customWidth="1"/>
    <col min="5" max="8" width="11.3619047619048"/>
  </cols>
  <sheetData>
    <row r="1" spans="2:8">
      <c r="B1" s="23" t="s">
        <v>2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</row>
    <row r="2" spans="1:8">
      <c r="A2" s="24" t="s">
        <v>66</v>
      </c>
      <c r="B2" s="25">
        <f>SUM(Tabla2[Total])/(B4-B3+1)</f>
        <v>45.1630658436214</v>
      </c>
      <c r="C2" s="25">
        <f>SUMIF(Tiempos!$S:$S,C1,Tiempos!$C:$C)/(C4-C3+1)</f>
        <v>103.483606557377</v>
      </c>
      <c r="D2" s="25">
        <f>SUMIF(Tiempos!$S:$S,D1,Tiempos!$C:$C)/(D4-D3+1)</f>
        <v>29.6602739726027</v>
      </c>
      <c r="E2" s="25">
        <f>SUMIF(Tiempos!$S:$S,E1,Tiempos!$C:$C)/(E4-E3+1)</f>
        <v>37.8054794520548</v>
      </c>
      <c r="F2" s="25">
        <f>SUMIF(Tiempos!$S:$S,F1,Tiempos!$C:$C)/(F4-F3+1)</f>
        <v>12.9205479452055</v>
      </c>
      <c r="G2" s="25">
        <f>SUMIF(Tiempos!$S:$S,G1,Tiempos!$C:$C)/(G4-G3+1)</f>
        <v>32.5901639344262</v>
      </c>
      <c r="H2" s="25">
        <f>SUMIF(Tiempos!$S:$S,H1,Tiempos!$C:$C)/(H4-H3+1)</f>
        <v>34.201581027668</v>
      </c>
    </row>
    <row r="3" spans="1:8">
      <c r="A3" s="24" t="s">
        <v>67</v>
      </c>
      <c r="B3" s="26">
        <f>MIN(Tabla2[Fecha])</f>
        <v>43967</v>
      </c>
      <c r="C3" s="26">
        <v>43831</v>
      </c>
      <c r="D3" s="26">
        <v>44197</v>
      </c>
      <c r="E3" s="26">
        <v>44562</v>
      </c>
      <c r="F3" s="26">
        <v>44927</v>
      </c>
      <c r="G3" s="26">
        <v>45292</v>
      </c>
      <c r="H3" s="26">
        <v>45658</v>
      </c>
    </row>
    <row r="4" spans="1:8">
      <c r="A4" s="24" t="s">
        <v>68</v>
      </c>
      <c r="B4" s="26">
        <f>MAX(Tabla2[Fecha])</f>
        <v>45910</v>
      </c>
      <c r="C4" s="26">
        <v>44196</v>
      </c>
      <c r="D4" s="26">
        <v>44561</v>
      </c>
      <c r="E4" s="26">
        <v>44926</v>
      </c>
      <c r="F4" s="26">
        <v>45291</v>
      </c>
      <c r="G4" s="26">
        <v>45657</v>
      </c>
      <c r="H4" s="26">
        <f>MAX(Tabla2[Fecha])</f>
        <v>45910</v>
      </c>
    </row>
    <row r="7" spans="3:4">
      <c r="C7" s="18" t="s">
        <v>69</v>
      </c>
      <c r="D7" s="27">
        <f>H3</f>
        <v>45658</v>
      </c>
    </row>
    <row r="8" spans="3:4">
      <c r="C8" s="18" t="s">
        <v>70</v>
      </c>
      <c r="D8" s="27">
        <f>DATE(H1,12,31)</f>
        <v>46022</v>
      </c>
    </row>
    <row r="9" spans="3:6">
      <c r="C9" s="18" t="s">
        <v>71</v>
      </c>
      <c r="D9">
        <f>(D8-D7+1)*30</f>
        <v>10950</v>
      </c>
      <c r="F9">
        <f>D8-D7</f>
        <v>364</v>
      </c>
    </row>
    <row r="10" spans="3:6">
      <c r="C10" s="18" t="s">
        <v>72</v>
      </c>
      <c r="D10" s="28">
        <f>(H4-H3+1)*H2</f>
        <v>8653</v>
      </c>
      <c r="F10">
        <f>ROUND(D10*F9/D9,0)</f>
        <v>288</v>
      </c>
    </row>
    <row r="11" spans="3:4">
      <c r="C11" s="18" t="s">
        <v>73</v>
      </c>
      <c r="D11" s="19">
        <f>D10/D9</f>
        <v>0.790228310502283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7"/>
  <sheetViews>
    <sheetView workbookViewId="0">
      <selection activeCell="B37" sqref="B37"/>
    </sheetView>
  </sheetViews>
  <sheetFormatPr defaultColWidth="11.552380952381" defaultRowHeight="15" outlineLevelCol="1"/>
  <cols>
    <col min="1" max="1" width="15.2857142857143" customWidth="1"/>
    <col min="2" max="2" width="9.85714285714286" customWidth="1"/>
  </cols>
  <sheetData>
    <row r="1" spans="1:2">
      <c r="A1" s="2" t="s">
        <v>1</v>
      </c>
      <c r="B1" t="s">
        <v>74</v>
      </c>
    </row>
    <row r="2" spans="1:2">
      <c r="A2" t="s">
        <v>61</v>
      </c>
      <c r="B2" s="22">
        <f>SUMIF(Tiempos!B:B,A2,Tiempos!C:C)/60</f>
        <v>1.71666666666667</v>
      </c>
    </row>
    <row r="3" spans="1:2">
      <c r="A3" t="s">
        <v>42</v>
      </c>
      <c r="B3" s="22">
        <f>SUMIF(Tiempos!B:B,A3,Tiempos!C:C)/60</f>
        <v>17.0833333333333</v>
      </c>
    </row>
    <row r="4" spans="1:2">
      <c r="A4" t="s">
        <v>37</v>
      </c>
      <c r="B4" s="22">
        <f>SUMIF(Tiempos!B:B,A4,Tiempos!C:C)/60</f>
        <v>26.1333333333333</v>
      </c>
    </row>
    <row r="5" spans="1:2">
      <c r="A5" t="s">
        <v>47</v>
      </c>
      <c r="B5" s="22">
        <f>SUMIF(Tiempos!B:B,A5,Tiempos!C:C)/60</f>
        <v>3.8</v>
      </c>
    </row>
    <row r="6" spans="1:2">
      <c r="A6" t="s">
        <v>54</v>
      </c>
      <c r="B6" s="22">
        <f>SUMIF(Tiempos!B:B,A6,Tiempos!C:C)/60</f>
        <v>8.48333333333333</v>
      </c>
    </row>
    <row r="7" spans="1:2">
      <c r="A7" t="s">
        <v>35</v>
      </c>
      <c r="B7" s="22">
        <f>SUMIF(Tiempos!B:B,A7,Tiempos!C:C)/60</f>
        <v>9.51666666666667</v>
      </c>
    </row>
    <row r="8" spans="1:2">
      <c r="A8" t="s">
        <v>48</v>
      </c>
      <c r="B8" s="22">
        <f>SUMIF(Tiempos!B:B,A8,Tiempos!C:C)/60</f>
        <v>1.6</v>
      </c>
    </row>
    <row r="9" spans="1:2">
      <c r="A9" t="s">
        <v>64</v>
      </c>
      <c r="B9" s="22">
        <f>SUMIF(Tiempos!B:B,A9,Tiempos!C:C)/60</f>
        <v>1.18333333333333</v>
      </c>
    </row>
    <row r="10" spans="1:2">
      <c r="A10" t="s">
        <v>56</v>
      </c>
      <c r="B10" s="22">
        <f>SUMIF(Tiempos!B:B,A10,Tiempos!C:C)/60</f>
        <v>13.9</v>
      </c>
    </row>
    <row r="11" spans="1:2">
      <c r="A11" t="s">
        <v>63</v>
      </c>
      <c r="B11" s="22">
        <f>SUMIF(Tiempos!B:B,A11,Tiempos!C:C)/60</f>
        <v>5.85</v>
      </c>
    </row>
    <row r="12" spans="1:2">
      <c r="A12" t="s">
        <v>44</v>
      </c>
      <c r="B12" s="22">
        <f>SUMIF(Tiempos!B:B,A12,Tiempos!C:C)/60</f>
        <v>6.33333333333333</v>
      </c>
    </row>
    <row r="13" spans="1:2">
      <c r="A13" t="s">
        <v>57</v>
      </c>
      <c r="B13" s="22">
        <f>SUMIF(Tiempos!B:B,A13,Tiempos!C:C)/60</f>
        <v>0.166666666666667</v>
      </c>
    </row>
    <row r="14" spans="1:2">
      <c r="A14" t="s">
        <v>23</v>
      </c>
      <c r="B14" s="22">
        <f>SUMIF(Tiempos!B:B,A14,Tiempos!C:C)/60</f>
        <v>54.0666666666667</v>
      </c>
    </row>
    <row r="15" spans="1:2">
      <c r="A15" t="s">
        <v>41</v>
      </c>
      <c r="B15" s="22">
        <f>SUMIF(Tiempos!B:B,A15,Tiempos!C:C)/60</f>
        <v>29.6333333333333</v>
      </c>
    </row>
    <row r="16" spans="1:2">
      <c r="A16" t="s">
        <v>39</v>
      </c>
      <c r="B16" s="22">
        <f>SUMIF(Tiempos!B:B,A16,Tiempos!C:C)/60</f>
        <v>8.5</v>
      </c>
    </row>
    <row r="17" spans="1:2">
      <c r="A17" t="s">
        <v>22</v>
      </c>
      <c r="B17" s="22">
        <f>SUMIF(Tiempos!B:B,A17,Tiempos!C:C)/60</f>
        <v>317.966666666667</v>
      </c>
    </row>
    <row r="18" spans="1:2">
      <c r="A18" t="s">
        <v>40</v>
      </c>
      <c r="B18" s="22">
        <f>SUMIF(Tiempos!B:B,A18,Tiempos!C:C)/60</f>
        <v>18.5833333333333</v>
      </c>
    </row>
    <row r="19" spans="1:2">
      <c r="A19" t="s">
        <v>30</v>
      </c>
      <c r="B19" s="22">
        <f>SUMIF(Tiempos!B:B,A19,Tiempos!C:C)/60</f>
        <v>1.88333333333333</v>
      </c>
    </row>
    <row r="20" spans="1:2">
      <c r="A20" t="s">
        <v>27</v>
      </c>
      <c r="B20" s="22">
        <f>SUMIF(Tiempos!B:B,A20,Tiempos!C:C)/60</f>
        <v>37.05</v>
      </c>
    </row>
    <row r="21" spans="1:2">
      <c r="A21" t="s">
        <v>58</v>
      </c>
      <c r="B21" s="22">
        <f>SUMIF(Tiempos!B:B,A21,Tiempos!C:C)/60</f>
        <v>6.31666666666667</v>
      </c>
    </row>
    <row r="22" spans="1:2">
      <c r="A22" t="s">
        <v>20</v>
      </c>
      <c r="B22" s="22">
        <f>SUMIF(Tiempos!B:B,A22,Tiempos!C:C)/60</f>
        <v>52.15</v>
      </c>
    </row>
    <row r="23" spans="1:2">
      <c r="A23" t="s">
        <v>19</v>
      </c>
      <c r="B23" s="22">
        <f>SUMIF(Tiempos!B:B,A23,Tiempos!C:C)/60</f>
        <v>109.75</v>
      </c>
    </row>
    <row r="24" spans="1:2">
      <c r="A24" t="s">
        <v>25</v>
      </c>
      <c r="B24" s="22">
        <f>SUMIF(Tiempos!B:B,A24,Tiempos!C:C)/60</f>
        <v>26.5166666666667</v>
      </c>
    </row>
    <row r="25" spans="1:2">
      <c r="A25" t="s">
        <v>26</v>
      </c>
      <c r="B25" s="22">
        <f>SUMIF(Tiempos!B:B,A25,Tiempos!C:C)/60</f>
        <v>91</v>
      </c>
    </row>
    <row r="26" spans="1:2">
      <c r="A26" t="s">
        <v>51</v>
      </c>
      <c r="B26" s="22">
        <f>SUMIF(Tiempos!B:B,A26,Tiempos!C:C)/60</f>
        <v>2.15</v>
      </c>
    </row>
    <row r="27" spans="1:2">
      <c r="A27" t="s">
        <v>31</v>
      </c>
      <c r="B27" s="22">
        <f>SUMIF(Tiempos!B:B,A27,Tiempos!C:C)/60</f>
        <v>246.5</v>
      </c>
    </row>
    <row r="28" spans="1:2">
      <c r="A28" t="s">
        <v>24</v>
      </c>
      <c r="B28" s="22">
        <f>SUMIF(Tiempos!B:B,A28,Tiempos!C:C)/60</f>
        <v>47.4</v>
      </c>
    </row>
    <row r="29" spans="1:2">
      <c r="A29" t="s">
        <v>38</v>
      </c>
      <c r="B29" s="22">
        <f>SUMIF(Tiempos!B:B,A29,Tiempos!C:C)/60</f>
        <v>2.93333333333333</v>
      </c>
    </row>
    <row r="30" spans="1:2">
      <c r="A30" t="s">
        <v>21</v>
      </c>
      <c r="B30" s="22">
        <f>SUMIF(Tiempos!B:B,A30,Tiempos!C:C)/60</f>
        <v>40</v>
      </c>
    </row>
    <row r="31" spans="1:2">
      <c r="A31" t="s">
        <v>60</v>
      </c>
      <c r="B31" s="22">
        <f>SUMIF(Tiempos!B:B,A31,Tiempos!C:C)/60</f>
        <v>5.1</v>
      </c>
    </row>
    <row r="32" spans="1:2">
      <c r="A32" t="s">
        <v>28</v>
      </c>
      <c r="B32" s="22">
        <f>SUMIF(Tiempos!B:B,A32,Tiempos!C:C)/60</f>
        <v>45.9</v>
      </c>
    </row>
    <row r="33" spans="1:2">
      <c r="A33" t="s">
        <v>43</v>
      </c>
      <c r="B33" s="22">
        <f>SUMIF(Tiempos!B:B,A33,Tiempos!C:C)/60</f>
        <v>9.01666666666667</v>
      </c>
    </row>
    <row r="34" spans="1:2">
      <c r="A34" t="s">
        <v>50</v>
      </c>
      <c r="B34" s="22">
        <f>SUMIF(Tiempos!B:B,A34,Tiempos!C:C)/60</f>
        <v>13.25</v>
      </c>
    </row>
    <row r="35" spans="1:2">
      <c r="A35" t="s">
        <v>52</v>
      </c>
      <c r="B35" s="22">
        <f>SUMIF(Tiempos!B:B,A35,Tiempos!C:C)/60</f>
        <v>3.35</v>
      </c>
    </row>
    <row r="36" spans="1:2">
      <c r="A36" t="s">
        <v>53</v>
      </c>
      <c r="B36" s="22">
        <f>SUMIF(Tiempos!B:B,A36,Tiempos!C:C)/60</f>
        <v>17.25</v>
      </c>
    </row>
    <row r="37" spans="1:2">
      <c r="A37" t="s">
        <v>36</v>
      </c>
      <c r="B37" s="22">
        <f>SUMIF(Tiempos!B:B,A37,Tiempos!C:C)/60</f>
        <v>21.0833333333333</v>
      </c>
    </row>
    <row r="38" spans="1:2">
      <c r="A38" t="s">
        <v>34</v>
      </c>
      <c r="B38" s="22">
        <f>SUMIF(Tiempos!B:B,A38,Tiempos!C:C)/60</f>
        <v>41.4333333333333</v>
      </c>
    </row>
    <row r="39" spans="1:2">
      <c r="A39" t="s">
        <v>46</v>
      </c>
      <c r="B39" s="22">
        <f>SUMIF(Tiempos!B:B,A39,Tiempos!C:C)/60</f>
        <v>0.616666666666667</v>
      </c>
    </row>
    <row r="40" spans="1:2">
      <c r="A40" t="s">
        <v>32</v>
      </c>
      <c r="B40" s="22">
        <f>SUMIF(Tiempos!B:B,A40,Tiempos!C:C)/60</f>
        <v>3.21666666666667</v>
      </c>
    </row>
    <row r="41" spans="1:2">
      <c r="A41" t="s">
        <v>49</v>
      </c>
      <c r="B41" s="22">
        <f>SUMIF(Tiempos!B:B,A41,Tiempos!C:C)/60</f>
        <v>1.93333333333333</v>
      </c>
    </row>
    <row r="42" spans="1:2">
      <c r="A42" t="s">
        <v>29</v>
      </c>
      <c r="B42" s="22">
        <f>SUMIF(Tiempos!B:B,A42,Tiempos!C:C)/60</f>
        <v>7.86666666666667</v>
      </c>
    </row>
    <row r="43" spans="1:2">
      <c r="A43" t="s">
        <v>59</v>
      </c>
      <c r="B43" s="22">
        <f>SUMIF(Tiempos!B:B,A43,Tiempos!C:C)/60</f>
        <v>7.55</v>
      </c>
    </row>
    <row r="44" spans="1:2">
      <c r="A44" t="s">
        <v>33</v>
      </c>
      <c r="B44" s="22">
        <f>SUMIF(Tiempos!B:B,A44,Tiempos!C:C)/60</f>
        <v>89.85</v>
      </c>
    </row>
    <row r="45" spans="1:2">
      <c r="A45" t="s">
        <v>65</v>
      </c>
      <c r="B45" s="22">
        <f>SUMIF(Tiempos!B:B,A45,Tiempos!C:C)/60</f>
        <v>5.81666666666667</v>
      </c>
    </row>
    <row r="46" spans="1:2">
      <c r="A46" t="s">
        <v>55</v>
      </c>
      <c r="B46" s="22">
        <f>SUMIF(Tiempos!B:B,A46,Tiempos!C:C)/60</f>
        <v>0.416666666666667</v>
      </c>
    </row>
    <row r="47" spans="1:2">
      <c r="A47" t="s">
        <v>62</v>
      </c>
      <c r="B47" s="22">
        <f>SUMIF(Tiempos!B:B,A47,Tiempos!C:C)/60</f>
        <v>1.46666666666667</v>
      </c>
    </row>
  </sheetData>
  <conditionalFormatting sqref="A$1:A$1048576">
    <cfRule type="duplicateValues" dxfId="20" priority="1"/>
  </conditionalFormatting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E41"/>
  <sheetViews>
    <sheetView workbookViewId="0">
      <selection activeCell="J21" sqref="J21:J24"/>
    </sheetView>
  </sheetViews>
  <sheetFormatPr defaultColWidth="11.552380952381" defaultRowHeight="15"/>
  <cols>
    <col min="1" max="1" width="18" customWidth="1"/>
  </cols>
  <sheetData>
    <row r="1" spans="1:2">
      <c r="A1" s="2" t="s">
        <v>75</v>
      </c>
      <c r="B1" s="16" t="s">
        <v>76</v>
      </c>
    </row>
    <row r="2" spans="1:2">
      <c r="A2" s="2" t="s">
        <v>77</v>
      </c>
      <c r="B2" s="1" t="s">
        <v>78</v>
      </c>
    </row>
    <row r="3" spans="1:2">
      <c r="A3" s="2" t="s">
        <v>79</v>
      </c>
      <c r="B3" s="16"/>
    </row>
    <row r="4" spans="1:7">
      <c r="A4" s="2" t="s">
        <v>80</v>
      </c>
      <c r="B4" s="16">
        <v>1</v>
      </c>
      <c r="C4" t="s">
        <v>81</v>
      </c>
      <c r="D4">
        <v>18</v>
      </c>
      <c r="G4">
        <f>58-41</f>
        <v>17</v>
      </c>
    </row>
    <row r="6" spans="1:57">
      <c r="A6" s="2" t="s">
        <v>75</v>
      </c>
      <c r="B6" s="16" t="s">
        <v>82</v>
      </c>
      <c r="F6">
        <v>1</v>
      </c>
      <c r="G6">
        <v>2</v>
      </c>
      <c r="H6">
        <v>3</v>
      </c>
      <c r="I6">
        <v>4</v>
      </c>
      <c r="J6">
        <v>5</v>
      </c>
      <c r="K6">
        <v>6</v>
      </c>
      <c r="L6">
        <v>7</v>
      </c>
      <c r="M6">
        <v>8</v>
      </c>
      <c r="N6">
        <v>9</v>
      </c>
      <c r="O6">
        <v>10</v>
      </c>
      <c r="P6">
        <v>11</v>
      </c>
      <c r="Q6">
        <v>12</v>
      </c>
      <c r="R6">
        <v>13</v>
      </c>
      <c r="S6">
        <v>14</v>
      </c>
      <c r="T6">
        <v>15</v>
      </c>
      <c r="U6">
        <v>16</v>
      </c>
      <c r="V6">
        <v>17</v>
      </c>
      <c r="W6">
        <v>18</v>
      </c>
      <c r="X6">
        <v>19</v>
      </c>
      <c r="Y6">
        <v>20</v>
      </c>
      <c r="Z6">
        <v>21</v>
      </c>
      <c r="AA6">
        <v>22</v>
      </c>
      <c r="AB6">
        <v>23</v>
      </c>
      <c r="AC6">
        <v>24</v>
      </c>
      <c r="AD6">
        <v>25</v>
      </c>
      <c r="AE6">
        <v>26</v>
      </c>
      <c r="AF6">
        <v>27</v>
      </c>
      <c r="AG6">
        <v>28</v>
      </c>
      <c r="AH6">
        <v>29</v>
      </c>
      <c r="AI6">
        <v>30</v>
      </c>
      <c r="AJ6">
        <v>31</v>
      </c>
      <c r="AK6">
        <v>32</v>
      </c>
      <c r="AL6">
        <v>33</v>
      </c>
      <c r="AM6">
        <v>34</v>
      </c>
      <c r="AN6">
        <v>35</v>
      </c>
      <c r="AO6">
        <v>36</v>
      </c>
      <c r="AP6">
        <v>37</v>
      </c>
      <c r="AQ6">
        <v>38</v>
      </c>
      <c r="AR6">
        <v>39</v>
      </c>
      <c r="AS6">
        <v>40</v>
      </c>
      <c r="AT6">
        <v>41</v>
      </c>
      <c r="AU6">
        <v>42</v>
      </c>
      <c r="AV6">
        <v>43</v>
      </c>
      <c r="AW6">
        <v>44</v>
      </c>
      <c r="AX6">
        <v>45</v>
      </c>
      <c r="AY6">
        <v>46</v>
      </c>
      <c r="AZ6">
        <v>47</v>
      </c>
      <c r="BA6">
        <v>48</v>
      </c>
      <c r="BB6">
        <v>49</v>
      </c>
      <c r="BC6">
        <v>50</v>
      </c>
      <c r="BD6">
        <v>51</v>
      </c>
      <c r="BE6">
        <v>52</v>
      </c>
    </row>
    <row r="7" spans="1:57">
      <c r="A7" s="2" t="s">
        <v>77</v>
      </c>
      <c r="B7" s="17" t="s">
        <v>83</v>
      </c>
      <c r="F7">
        <f>60+12</f>
        <v>72</v>
      </c>
      <c r="G7">
        <v>58</v>
      </c>
      <c r="H7">
        <f>60+20</f>
        <v>80</v>
      </c>
      <c r="I7">
        <f>60+34</f>
        <v>94</v>
      </c>
      <c r="J7">
        <f>60+23</f>
        <v>83</v>
      </c>
      <c r="K7">
        <v>53</v>
      </c>
      <c r="L7">
        <v>57</v>
      </c>
      <c r="M7">
        <f>60+11</f>
        <v>71</v>
      </c>
      <c r="N7">
        <v>58</v>
      </c>
      <c r="O7">
        <f>60+9</f>
        <v>69</v>
      </c>
      <c r="P7">
        <f>60+4</f>
        <v>64</v>
      </c>
      <c r="Q7">
        <v>40</v>
      </c>
      <c r="R7">
        <v>57</v>
      </c>
      <c r="S7">
        <v>35</v>
      </c>
      <c r="T7">
        <v>54</v>
      </c>
      <c r="U7">
        <v>46</v>
      </c>
      <c r="V7">
        <f>60+27</f>
        <v>87</v>
      </c>
      <c r="W7">
        <f>60+24</f>
        <v>84</v>
      </c>
      <c r="X7">
        <v>32</v>
      </c>
      <c r="Y7">
        <v>31</v>
      </c>
      <c r="Z7">
        <v>36</v>
      </c>
      <c r="AA7">
        <v>25</v>
      </c>
      <c r="AB7">
        <f>60+8</f>
        <v>68</v>
      </c>
      <c r="AC7">
        <v>47</v>
      </c>
      <c r="AD7">
        <v>55</v>
      </c>
      <c r="AE7">
        <v>48</v>
      </c>
      <c r="AF7">
        <v>47</v>
      </c>
      <c r="AG7">
        <f>60+28</f>
        <v>88</v>
      </c>
      <c r="AH7">
        <v>59</v>
      </c>
      <c r="AI7">
        <f>60+38</f>
        <v>98</v>
      </c>
      <c r="AJ7">
        <v>47</v>
      </c>
      <c r="AK7">
        <v>53</v>
      </c>
      <c r="AL7">
        <v>45</v>
      </c>
      <c r="AM7">
        <v>52</v>
      </c>
      <c r="AN7">
        <v>61</v>
      </c>
      <c r="AO7">
        <f>60+34</f>
        <v>94</v>
      </c>
      <c r="AP7">
        <v>42</v>
      </c>
      <c r="AQ7">
        <v>62</v>
      </c>
      <c r="AR7">
        <v>36</v>
      </c>
      <c r="AS7">
        <v>53</v>
      </c>
      <c r="AT7">
        <v>35</v>
      </c>
      <c r="AU7">
        <v>29</v>
      </c>
      <c r="AV7">
        <v>52</v>
      </c>
      <c r="AW7">
        <f>60+12</f>
        <v>72</v>
      </c>
      <c r="AX7">
        <v>44</v>
      </c>
      <c r="AY7">
        <v>60</v>
      </c>
      <c r="AZ7">
        <v>32</v>
      </c>
      <c r="BA7">
        <v>62</v>
      </c>
      <c r="BB7">
        <v>37</v>
      </c>
      <c r="BC7">
        <v>53</v>
      </c>
      <c r="BD7">
        <v>58</v>
      </c>
      <c r="BE7">
        <v>4</v>
      </c>
    </row>
    <row r="8" spans="1:34">
      <c r="A8" s="2" t="s">
        <v>79</v>
      </c>
      <c r="B8" s="16"/>
      <c r="F8" s="18" t="s">
        <v>84</v>
      </c>
      <c r="G8" s="18" t="s">
        <v>84</v>
      </c>
      <c r="H8" s="18" t="s">
        <v>84</v>
      </c>
      <c r="I8" s="18" t="s">
        <v>84</v>
      </c>
      <c r="J8" s="18" t="s">
        <v>84</v>
      </c>
      <c r="K8" s="18" t="s">
        <v>84</v>
      </c>
      <c r="L8" s="18" t="s">
        <v>84</v>
      </c>
      <c r="M8" s="18" t="s">
        <v>84</v>
      </c>
      <c r="N8" s="18" t="s">
        <v>84</v>
      </c>
      <c r="O8" s="18" t="s">
        <v>84</v>
      </c>
      <c r="P8" s="18" t="s">
        <v>84</v>
      </c>
      <c r="Q8" s="18" t="s">
        <v>84</v>
      </c>
      <c r="R8" s="18" t="s">
        <v>84</v>
      </c>
      <c r="S8" s="18" t="s">
        <v>84</v>
      </c>
      <c r="T8" s="18" t="s">
        <v>84</v>
      </c>
      <c r="U8" s="18" t="s">
        <v>84</v>
      </c>
      <c r="V8" s="18" t="s">
        <v>84</v>
      </c>
      <c r="W8" s="18" t="s">
        <v>84</v>
      </c>
      <c r="X8" s="18" t="s">
        <v>84</v>
      </c>
      <c r="Y8" s="18" t="s">
        <v>84</v>
      </c>
      <c r="Z8" s="18" t="s">
        <v>84</v>
      </c>
      <c r="AA8" s="18" t="s">
        <v>84</v>
      </c>
      <c r="AB8" s="18" t="s">
        <v>84</v>
      </c>
      <c r="AC8" s="18" t="s">
        <v>84</v>
      </c>
      <c r="AD8" s="18" t="s">
        <v>84</v>
      </c>
      <c r="AE8" s="18" t="s">
        <v>84</v>
      </c>
      <c r="AF8" s="18" t="s">
        <v>84</v>
      </c>
      <c r="AG8" s="18" t="s">
        <v>84</v>
      </c>
      <c r="AH8" s="18" t="s">
        <v>84</v>
      </c>
    </row>
    <row r="9" spans="1:6">
      <c r="A9" s="2" t="s">
        <v>80</v>
      </c>
      <c r="B9" s="16">
        <v>30</v>
      </c>
      <c r="C9" t="s">
        <v>81</v>
      </c>
      <c r="D9">
        <v>0</v>
      </c>
      <c r="F9">
        <f>SUM(F7:BE7)</f>
        <v>2879</v>
      </c>
    </row>
    <row r="10" spans="6:7">
      <c r="F10">
        <f>SUMIF(F8:BE8,"X",F7:BE7)</f>
        <v>1698</v>
      </c>
      <c r="G10" s="19">
        <f>F10/F9</f>
        <v>0.589788120875304</v>
      </c>
    </row>
    <row r="11" spans="1:11">
      <c r="A11" s="2" t="s">
        <v>75</v>
      </c>
      <c r="B11" s="16" t="s">
        <v>85</v>
      </c>
      <c r="F11">
        <f>SUMIF(F8:BE8,"",F7:BE7)</f>
        <v>1181</v>
      </c>
      <c r="K11" s="20">
        <v>5439.6</v>
      </c>
    </row>
    <row r="12" spans="1:11">
      <c r="A12" s="2" t="s">
        <v>77</v>
      </c>
      <c r="B12" s="17" t="s">
        <v>86</v>
      </c>
      <c r="K12">
        <f>+K11/12</f>
        <v>453.3</v>
      </c>
    </row>
    <row r="13" spans="1:2">
      <c r="A13" s="2" t="s">
        <v>79</v>
      </c>
      <c r="B13" s="16"/>
    </row>
    <row r="14" spans="1:4">
      <c r="A14" s="2" t="s">
        <v>80</v>
      </c>
      <c r="B14" s="16" t="s">
        <v>87</v>
      </c>
      <c r="C14" t="s">
        <v>81</v>
      </c>
      <c r="D14">
        <v>0</v>
      </c>
    </row>
    <row r="18" spans="1:4">
      <c r="A18" t="s">
        <v>88</v>
      </c>
      <c r="B18" t="s">
        <v>75</v>
      </c>
      <c r="C18" t="s">
        <v>77</v>
      </c>
      <c r="D18" t="s">
        <v>74</v>
      </c>
    </row>
    <row r="20" spans="1:4">
      <c r="A20">
        <v>2</v>
      </c>
      <c r="B20" t="s">
        <v>89</v>
      </c>
      <c r="C20" t="s">
        <v>90</v>
      </c>
      <c r="D20">
        <v>2</v>
      </c>
    </row>
    <row r="21" spans="1:4">
      <c r="A21">
        <v>3</v>
      </c>
      <c r="B21" t="s">
        <v>91</v>
      </c>
      <c r="C21" t="s">
        <v>92</v>
      </c>
      <c r="D21">
        <v>1</v>
      </c>
    </row>
    <row r="22" spans="1:4">
      <c r="A22">
        <v>4</v>
      </c>
      <c r="B22" t="s">
        <v>93</v>
      </c>
      <c r="C22" t="s">
        <v>94</v>
      </c>
      <c r="D22">
        <v>1</v>
      </c>
    </row>
    <row r="28" spans="2:2">
      <c r="B28" t="s">
        <v>95</v>
      </c>
    </row>
    <row r="29" spans="2:9">
      <c r="B29" s="1" t="s">
        <v>78</v>
      </c>
      <c r="I29" s="21"/>
    </row>
    <row r="30" spans="2:2">
      <c r="B30" s="1" t="s">
        <v>96</v>
      </c>
    </row>
    <row r="32" spans="2:2">
      <c r="B32" t="s">
        <v>97</v>
      </c>
    </row>
    <row r="33" spans="2:2">
      <c r="B33" s="1" t="s">
        <v>98</v>
      </c>
    </row>
    <row r="40" spans="2:2">
      <c r="B40" s="1" t="s">
        <v>51</v>
      </c>
    </row>
    <row r="41" spans="2:2">
      <c r="B41" s="1" t="s">
        <v>99</v>
      </c>
    </row>
  </sheetData>
  <hyperlinks>
    <hyperlink ref="B7" r:id="rId1" display="https://campus-ademass.com/curso/24"/>
    <hyperlink ref="B12" r:id="rId2" display="https://www.cursosdesarrolloweb.es/course/curso-laravel-11/visor" tooltip="https://www.cursosdesarrolloweb.es/course/curso-laravel-11/visor"/>
    <hyperlink ref="B29" r:id="rId3" display="https://www.youtube.com/playlist?list=PLd3a4dr8oUsAtdEXaR5XBQtspx7axkinm"/>
    <hyperlink ref="B30" r:id="rId4" display="https://www.youtube.com/playlist?list=PLbFjjy1sD3hr3ppWz9JndcXJErAQdpDHt"/>
    <hyperlink ref="B33" r:id="rId5" display="https://www.youtube.com/watch?v=SupUqrZW5C4"/>
    <hyperlink ref="B2" r:id="rId3" display="https://www.youtube.com/playlist?list=PLd3a4dr8oUsAtdEXaR5XBQtspx7axkinm"/>
    <hyperlink ref="B40" r:id="rId6" display="jQuery"/>
    <hyperlink ref="B41" r:id="rId6" display="https://www.youtube.com/watch?v=rSjCJGoH-GQ"/>
  </hyperlinks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C34" sqref="C34"/>
    </sheetView>
  </sheetViews>
  <sheetFormatPr defaultColWidth="11.552380952381" defaultRowHeight="15" outlineLevelRow="4" outlineLevelCol="1"/>
  <cols>
    <col min="1" max="1" width="15.7809523809524" customWidth="1"/>
  </cols>
  <sheetData>
    <row r="1" spans="1:1">
      <c r="A1" s="2" t="s">
        <v>100</v>
      </c>
    </row>
    <row r="2" spans="1:1">
      <c r="A2" t="s">
        <v>101</v>
      </c>
    </row>
    <row r="3" spans="2:2">
      <c r="B3" t="s">
        <v>102</v>
      </c>
    </row>
    <row r="4" spans="1:1">
      <c r="A4" t="s">
        <v>103</v>
      </c>
    </row>
    <row r="5" spans="2:2">
      <c r="B5" t="s">
        <v>104</v>
      </c>
    </row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"/>
  <sheetViews>
    <sheetView workbookViewId="0">
      <selection activeCell="A12" sqref="A12"/>
    </sheetView>
  </sheetViews>
  <sheetFormatPr defaultColWidth="11.552380952381" defaultRowHeight="15"/>
  <sheetData>
    <row r="1" spans="1:1">
      <c r="A1" s="2" t="s">
        <v>105</v>
      </c>
    </row>
    <row r="2" spans="1:1">
      <c r="A2" t="s">
        <v>106</v>
      </c>
    </row>
    <row r="3" spans="1:1">
      <c r="A3" t="s">
        <v>107</v>
      </c>
    </row>
    <row r="4" spans="1:1">
      <c r="A4" t="s">
        <v>108</v>
      </c>
    </row>
    <row r="5" spans="1:1">
      <c r="A5" t="s">
        <v>109</v>
      </c>
    </row>
    <row r="6" spans="1:1">
      <c r="A6" t="s">
        <v>110</v>
      </c>
    </row>
    <row r="7" spans="1:1">
      <c r="A7" t="s">
        <v>111</v>
      </c>
    </row>
    <row r="8" spans="1:1">
      <c r="A8" t="s">
        <v>112</v>
      </c>
    </row>
    <row r="9" spans="1:1">
      <c r="A9" t="s">
        <v>113</v>
      </c>
    </row>
    <row r="10" spans="1:1">
      <c r="A10" t="s">
        <v>114</v>
      </c>
    </row>
    <row r="11" spans="1:1">
      <c r="A11" t="s">
        <v>115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FF0000"/>
  </sheetPr>
  <dimension ref="A1:C24"/>
  <sheetViews>
    <sheetView workbookViewId="0">
      <selection activeCell="A3" sqref="A3"/>
    </sheetView>
  </sheetViews>
  <sheetFormatPr defaultColWidth="11.552380952381" defaultRowHeight="15" outlineLevelCol="2"/>
  <sheetData>
    <row r="1" spans="1:1">
      <c r="A1" t="s">
        <v>116</v>
      </c>
    </row>
    <row r="2" spans="1:1">
      <c r="A2" t="s">
        <v>117</v>
      </c>
    </row>
    <row r="3" spans="2:2">
      <c r="B3" t="s">
        <v>118</v>
      </c>
    </row>
    <row r="4" spans="1:1">
      <c r="A4" t="s">
        <v>119</v>
      </c>
    </row>
    <row r="5" spans="2:2">
      <c r="B5" t="s">
        <v>120</v>
      </c>
    </row>
    <row r="6" spans="3:3">
      <c r="C6" t="s">
        <v>121</v>
      </c>
    </row>
    <row r="7" spans="1:1">
      <c r="A7" t="s">
        <v>122</v>
      </c>
    </row>
    <row r="8" spans="2:2">
      <c r="B8" t="s">
        <v>123</v>
      </c>
    </row>
    <row r="9" spans="3:3">
      <c r="C9" t="s">
        <v>124</v>
      </c>
    </row>
    <row r="10" spans="1:1">
      <c r="A10" t="s">
        <v>125</v>
      </c>
    </row>
    <row r="11" spans="2:2">
      <c r="B11" t="s">
        <v>126</v>
      </c>
    </row>
    <row r="12" spans="1:1">
      <c r="A12" t="s">
        <v>127</v>
      </c>
    </row>
    <row r="13" spans="2:2">
      <c r="B13" t="s">
        <v>128</v>
      </c>
    </row>
    <row r="14" spans="1:1">
      <c r="A14" t="s">
        <v>129</v>
      </c>
    </row>
    <row r="15" spans="2:2">
      <c r="B15" t="s">
        <v>130</v>
      </c>
    </row>
    <row r="16" spans="1:1">
      <c r="A16" t="s">
        <v>131</v>
      </c>
    </row>
    <row r="17" spans="2:2">
      <c r="B17" t="s">
        <v>132</v>
      </c>
    </row>
    <row r="18" spans="2:2">
      <c r="B18" t="s">
        <v>133</v>
      </c>
    </row>
    <row r="19" spans="1:1">
      <c r="A19" t="s">
        <v>134</v>
      </c>
    </row>
    <row r="20" spans="2:2">
      <c r="B20" t="s">
        <v>135</v>
      </c>
    </row>
    <row r="21" spans="1:1">
      <c r="A21" t="s">
        <v>136</v>
      </c>
    </row>
    <row r="22" spans="2:2">
      <c r="B22" t="s">
        <v>137</v>
      </c>
    </row>
    <row r="23" spans="1:1">
      <c r="A23" t="s">
        <v>138</v>
      </c>
    </row>
    <row r="24" spans="2:2">
      <c r="B24" t="s">
        <v>139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C12"/>
  <sheetViews>
    <sheetView topLeftCell="A2" workbookViewId="0">
      <selection activeCell="B13" sqref="B13"/>
    </sheetView>
  </sheetViews>
  <sheetFormatPr defaultColWidth="11.552380952381" defaultRowHeight="15" outlineLevelCol="2"/>
  <sheetData>
    <row r="1" spans="1:1">
      <c r="A1" t="s">
        <v>140</v>
      </c>
    </row>
    <row r="2" spans="2:2">
      <c r="B2" t="s">
        <v>141</v>
      </c>
    </row>
    <row r="3" spans="2:2">
      <c r="B3" t="s">
        <v>142</v>
      </c>
    </row>
    <row r="4" spans="3:3">
      <c r="C4" t="s">
        <v>143</v>
      </c>
    </row>
    <row r="5" spans="3:3">
      <c r="C5" t="s">
        <v>144</v>
      </c>
    </row>
    <row r="6" spans="3:3">
      <c r="C6" t="s">
        <v>145</v>
      </c>
    </row>
    <row r="7" spans="1:1">
      <c r="A7" t="s">
        <v>146</v>
      </c>
    </row>
    <row r="8" spans="2:2">
      <c r="B8" t="s">
        <v>147</v>
      </c>
    </row>
    <row r="9" spans="1:1">
      <c r="A9" t="s">
        <v>148</v>
      </c>
    </row>
    <row r="10" spans="2:2">
      <c r="B10" t="s">
        <v>149</v>
      </c>
    </row>
    <row r="11" spans="1:1">
      <c r="A11" t="s">
        <v>150</v>
      </c>
    </row>
    <row r="12" spans="2:2">
      <c r="B12" t="s">
        <v>151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70"/>
  <sheetViews>
    <sheetView workbookViewId="0">
      <selection activeCell="F12" sqref="F12"/>
    </sheetView>
  </sheetViews>
  <sheetFormatPr defaultColWidth="9" defaultRowHeight="15" customHeight="1"/>
  <cols>
    <col min="1" max="1" width="115.666666666667" customWidth="1"/>
    <col min="9" max="9" width="13.1809523809524" customWidth="1"/>
  </cols>
  <sheetData>
    <row r="1" s="2" customFormat="1" customHeight="1" spans="1:7">
      <c r="A1" s="2" t="s">
        <v>152</v>
      </c>
      <c r="B1" s="2">
        <f>SUM(B2:B5000)</f>
        <v>332</v>
      </c>
      <c r="D1" s="2">
        <f>B1/60</f>
        <v>5.53333333333333</v>
      </c>
      <c r="G1" s="2">
        <v>1950</v>
      </c>
    </row>
    <row r="2" customHeight="1" spans="1:10">
      <c r="A2" s="13" t="s">
        <v>153</v>
      </c>
      <c r="I2" t="s">
        <v>154</v>
      </c>
      <c r="J2">
        <v>576</v>
      </c>
    </row>
    <row r="3" customHeight="1" spans="1:10">
      <c r="A3" s="14" t="s">
        <v>155</v>
      </c>
      <c r="I3" t="s">
        <v>156</v>
      </c>
      <c r="J3">
        <v>124</v>
      </c>
    </row>
    <row r="4" customHeight="1" spans="1:2">
      <c r="A4" s="14" t="s">
        <v>157</v>
      </c>
      <c r="B4">
        <v>6</v>
      </c>
    </row>
    <row r="5" customHeight="1" spans="1:7">
      <c r="A5" s="15" t="s">
        <v>158</v>
      </c>
      <c r="B5">
        <v>2</v>
      </c>
      <c r="G5">
        <f>G1-J2-J3</f>
        <v>1250</v>
      </c>
    </row>
    <row r="6" customHeight="1" spans="1:1">
      <c r="A6" s="13" t="s">
        <v>159</v>
      </c>
    </row>
    <row r="7" customHeight="1" spans="1:2">
      <c r="A7" s="14" t="s">
        <v>160</v>
      </c>
      <c r="B7">
        <v>4</v>
      </c>
    </row>
    <row r="8" customHeight="1" spans="1:2">
      <c r="A8" s="14" t="s">
        <v>161</v>
      </c>
      <c r="B8">
        <v>5</v>
      </c>
    </row>
    <row r="9" customHeight="1" spans="1:2">
      <c r="A9" s="14" t="s">
        <v>162</v>
      </c>
      <c r="B9">
        <v>9</v>
      </c>
    </row>
    <row r="10" customHeight="1" spans="1:2">
      <c r="A10" s="14" t="s">
        <v>163</v>
      </c>
      <c r="B10">
        <v>5</v>
      </c>
    </row>
    <row r="11" customHeight="1" spans="1:2">
      <c r="A11" s="14" t="s">
        <v>164</v>
      </c>
      <c r="B11">
        <v>5</v>
      </c>
    </row>
    <row r="12" customHeight="1" spans="1:2">
      <c r="A12" s="14" t="s">
        <v>165</v>
      </c>
      <c r="B12">
        <v>5</v>
      </c>
    </row>
    <row r="13" customHeight="1" spans="1:2">
      <c r="A13" s="14" t="s">
        <v>166</v>
      </c>
      <c r="B13">
        <v>6</v>
      </c>
    </row>
    <row r="14" customHeight="1" spans="1:2">
      <c r="A14" s="14" t="s">
        <v>167</v>
      </c>
      <c r="B14">
        <v>6</v>
      </c>
    </row>
    <row r="15" customHeight="1" spans="1:2">
      <c r="A15" s="14" t="s">
        <v>168</v>
      </c>
      <c r="B15">
        <v>11</v>
      </c>
    </row>
    <row r="16" customHeight="1" spans="1:2">
      <c r="A16" s="14" t="s">
        <v>169</v>
      </c>
      <c r="B16">
        <v>7</v>
      </c>
    </row>
    <row r="17" customHeight="1" spans="1:2">
      <c r="A17" s="14" t="s">
        <v>170</v>
      </c>
      <c r="B17">
        <v>7</v>
      </c>
    </row>
    <row r="18" customHeight="1" spans="1:2">
      <c r="A18" s="14" t="s">
        <v>171</v>
      </c>
      <c r="B18">
        <v>6</v>
      </c>
    </row>
    <row r="19" customHeight="1" spans="1:2">
      <c r="A19" s="14" t="s">
        <v>172</v>
      </c>
      <c r="B19">
        <v>7</v>
      </c>
    </row>
    <row r="20" customHeight="1" spans="1:2">
      <c r="A20" s="15" t="s">
        <v>173</v>
      </c>
      <c r="B20">
        <v>10</v>
      </c>
    </row>
    <row r="21" s="2" customFormat="1" customHeight="1" spans="1:1">
      <c r="A21" s="2" t="s">
        <v>174</v>
      </c>
    </row>
    <row r="22" customHeight="1" spans="1:1">
      <c r="A22" s="13" t="s">
        <v>153</v>
      </c>
    </row>
    <row r="23" customHeight="1" spans="1:1">
      <c r="A23" s="14" t="s">
        <v>155</v>
      </c>
    </row>
    <row r="24" customHeight="1" spans="1:2">
      <c r="A24" s="15" t="s">
        <v>175</v>
      </c>
      <c r="B24">
        <v>14</v>
      </c>
    </row>
    <row r="25" customHeight="1" spans="1:1">
      <c r="A25" s="13" t="s">
        <v>176</v>
      </c>
    </row>
    <row r="26" customHeight="1" spans="1:2">
      <c r="A26" s="14" t="s">
        <v>177</v>
      </c>
      <c r="B26">
        <v>4</v>
      </c>
    </row>
    <row r="27" customHeight="1" spans="1:2">
      <c r="A27" s="14" t="s">
        <v>178</v>
      </c>
      <c r="B27">
        <v>9</v>
      </c>
    </row>
    <row r="28" customHeight="1" spans="1:2">
      <c r="A28" s="14" t="s">
        <v>179</v>
      </c>
      <c r="B28">
        <v>3</v>
      </c>
    </row>
    <row r="29" customHeight="1" spans="1:2">
      <c r="A29" s="14" t="s">
        <v>180</v>
      </c>
      <c r="B29">
        <v>7</v>
      </c>
    </row>
    <row r="30" customHeight="1" spans="1:2">
      <c r="A30" s="15" t="s">
        <v>181</v>
      </c>
      <c r="B30">
        <v>12</v>
      </c>
    </row>
    <row r="31" customHeight="1" spans="1:1">
      <c r="A31" s="13" t="s">
        <v>182</v>
      </c>
    </row>
    <row r="32" customHeight="1" spans="1:2">
      <c r="A32" s="14" t="s">
        <v>183</v>
      </c>
      <c r="B32">
        <v>3</v>
      </c>
    </row>
    <row r="33" customHeight="1" spans="1:2">
      <c r="A33" s="14" t="s">
        <v>184</v>
      </c>
      <c r="B33">
        <v>5</v>
      </c>
    </row>
    <row r="34" customHeight="1" spans="1:2">
      <c r="A34" s="14" t="s">
        <v>185</v>
      </c>
      <c r="B34">
        <v>3</v>
      </c>
    </row>
    <row r="35" customHeight="1" spans="1:2">
      <c r="A35" s="15" t="s">
        <v>186</v>
      </c>
      <c r="B35">
        <v>6</v>
      </c>
    </row>
    <row r="36" customHeight="1" spans="1:1">
      <c r="A36" s="13" t="s">
        <v>187</v>
      </c>
    </row>
    <row r="37" customHeight="1" spans="1:2">
      <c r="A37" s="14" t="s">
        <v>188</v>
      </c>
      <c r="B37">
        <v>4</v>
      </c>
    </row>
    <row r="38" customHeight="1" spans="1:2">
      <c r="A38" s="14" t="s">
        <v>189</v>
      </c>
      <c r="B38">
        <v>5</v>
      </c>
    </row>
    <row r="39" customHeight="1" spans="1:2">
      <c r="A39" s="14" t="s">
        <v>190</v>
      </c>
      <c r="B39">
        <v>3</v>
      </c>
    </row>
    <row r="40" customHeight="1" spans="1:2">
      <c r="A40" s="14" t="s">
        <v>191</v>
      </c>
      <c r="B40">
        <v>6</v>
      </c>
    </row>
    <row r="41" customHeight="1" spans="1:2">
      <c r="A41" s="14" t="s">
        <v>192</v>
      </c>
      <c r="B41">
        <v>11</v>
      </c>
    </row>
    <row r="42" customHeight="1" spans="1:2">
      <c r="A42" s="14" t="s">
        <v>193</v>
      </c>
      <c r="B42">
        <v>11</v>
      </c>
    </row>
    <row r="43" customHeight="1" spans="1:2">
      <c r="A43" s="14" t="s">
        <v>194</v>
      </c>
      <c r="B43">
        <v>6</v>
      </c>
    </row>
    <row r="44" customHeight="1" spans="1:2">
      <c r="A44" s="14" t="s">
        <v>195</v>
      </c>
      <c r="B44">
        <v>5</v>
      </c>
    </row>
    <row r="45" customHeight="1" spans="1:2">
      <c r="A45" s="14" t="s">
        <v>196</v>
      </c>
      <c r="B45">
        <v>5</v>
      </c>
    </row>
    <row r="46" customHeight="1" spans="1:2">
      <c r="A46" s="14" t="s">
        <v>197</v>
      </c>
      <c r="B46">
        <v>4</v>
      </c>
    </row>
    <row r="47" customHeight="1" spans="1:2">
      <c r="A47" s="14" t="s">
        <v>198</v>
      </c>
      <c r="B47">
        <v>6</v>
      </c>
    </row>
    <row r="48" customHeight="1" spans="1:2">
      <c r="A48" s="14" t="s">
        <v>199</v>
      </c>
      <c r="B48">
        <v>15</v>
      </c>
    </row>
    <row r="49" customHeight="1" spans="1:2">
      <c r="A49" s="14" t="s">
        <v>200</v>
      </c>
      <c r="B49">
        <v>5</v>
      </c>
    </row>
    <row r="50" customHeight="1" spans="1:2">
      <c r="A50" s="14" t="s">
        <v>201</v>
      </c>
      <c r="B50">
        <v>7</v>
      </c>
    </row>
    <row r="51" customHeight="1" spans="1:2">
      <c r="A51" s="15" t="s">
        <v>202</v>
      </c>
      <c r="B51">
        <v>10</v>
      </c>
    </row>
    <row r="52" customHeight="1" spans="1:1">
      <c r="A52" t="s">
        <v>203</v>
      </c>
    </row>
    <row r="53" customHeight="1" spans="1:1">
      <c r="A53" s="1" t="s">
        <v>159</v>
      </c>
    </row>
    <row r="54" customHeight="1" spans="1:1">
      <c r="A54" s="14" t="s">
        <v>155</v>
      </c>
    </row>
    <row r="55" customHeight="1" spans="1:2">
      <c r="A55" s="14" t="s">
        <v>204</v>
      </c>
      <c r="B55">
        <v>3</v>
      </c>
    </row>
    <row r="56" customHeight="1" spans="1:2">
      <c r="A56" s="14" t="s">
        <v>205</v>
      </c>
      <c r="B56">
        <v>3</v>
      </c>
    </row>
    <row r="57" customHeight="1" spans="1:2">
      <c r="A57" s="14" t="s">
        <v>206</v>
      </c>
      <c r="B57">
        <v>4</v>
      </c>
    </row>
    <row r="58" customHeight="1" spans="1:2">
      <c r="A58" s="14" t="s">
        <v>207</v>
      </c>
      <c r="B58">
        <v>3</v>
      </c>
    </row>
    <row r="59" customHeight="1" spans="1:2">
      <c r="A59" s="14" t="s">
        <v>208</v>
      </c>
      <c r="B59">
        <v>5</v>
      </c>
    </row>
    <row r="60" customHeight="1" spans="1:2">
      <c r="A60" s="14" t="s">
        <v>209</v>
      </c>
      <c r="B60">
        <v>3</v>
      </c>
    </row>
    <row r="61" customHeight="1" spans="1:2">
      <c r="A61" s="14" t="s">
        <v>210</v>
      </c>
      <c r="B61">
        <v>6</v>
      </c>
    </row>
    <row r="62" customHeight="1" spans="1:2">
      <c r="A62" s="14" t="s">
        <v>211</v>
      </c>
      <c r="B62">
        <v>6</v>
      </c>
    </row>
    <row r="63" customHeight="1" spans="1:2">
      <c r="A63" s="14" t="s">
        <v>212</v>
      </c>
      <c r="B63">
        <v>2</v>
      </c>
    </row>
    <row r="64" customHeight="1" spans="1:2">
      <c r="A64" s="14" t="s">
        <v>213</v>
      </c>
      <c r="B64">
        <v>3</v>
      </c>
    </row>
    <row r="65" customHeight="1" spans="1:2">
      <c r="A65" s="14" t="s">
        <v>214</v>
      </c>
      <c r="B65">
        <v>3</v>
      </c>
    </row>
    <row r="66" customHeight="1" spans="1:2">
      <c r="A66" s="14" t="s">
        <v>215</v>
      </c>
      <c r="B66">
        <v>5</v>
      </c>
    </row>
    <row r="67" customHeight="1" spans="1:2">
      <c r="A67" s="14" t="s">
        <v>216</v>
      </c>
      <c r="B67">
        <v>2</v>
      </c>
    </row>
    <row r="68" customHeight="1" spans="1:2">
      <c r="A68" s="14" t="s">
        <v>217</v>
      </c>
      <c r="B68">
        <v>7</v>
      </c>
    </row>
    <row r="69" customHeight="1" spans="1:2">
      <c r="A69" s="14" t="s">
        <v>218</v>
      </c>
      <c r="B69">
        <v>6</v>
      </c>
    </row>
    <row r="70" customHeight="1" spans="1:2">
      <c r="A70" s="15" t="s">
        <v>219</v>
      </c>
      <c r="B70">
        <v>1</v>
      </c>
    </row>
  </sheetData>
  <hyperlinks>
    <hyperlink ref="A2" r:id="rId1" display="Introducciónkeyboard_arrow_down"/>
    <hyperlink ref="A3" r:id="rId1" display="file_downloadProyecto finalN/D"/>
    <hyperlink ref="A4" r:id="rId2" display="play_circle_outline¿Qué vamos a hacer?6 minutos"/>
    <hyperlink ref="A5" r:id="rId1" display="play_circle_outlineExplicación inicial2 minutos"/>
    <hyperlink ref="A6" r:id="rId1" display="Contenido del cursokeyboard_arrow_down"/>
    <hyperlink ref="A7" r:id="rId1" display="play_circle_outlineMigraciones y Seeders4 minutos"/>
    <hyperlink ref="A8" r:id="rId1" display="play_circle_outlineEntendiendo los Value Objects5 minutos"/>
    <hyperlink ref="A9" r:id="rId1" display="play_circle_outlineValue Object (clase abstracta)9 minutos"/>
    <hyperlink ref="A10" r:id="rId1" display="play_circle_outlineValue Object Primitivo (Text)5 minutos"/>
    <hyperlink ref="A11" r:id="rId1" display="play_circle_outlineProbando nuestro Value Object con Tinker5 minutos"/>
    <hyperlink ref="A12" r:id="rId1" display="play_circle_outlineValue Object Primitivo (Number) + Tinker5 minutos"/>
    <hyperlink ref="A13" r:id="rId1" display="play_circle_outlineValue Object Primitivo (Boolean) + Tinker6 minutos"/>
    <hyperlink ref="A14" r:id="rId1" display="play_circle_outlineUtilizando Value Objects en los modelos Eloquent (Casts)6 minutos"/>
    <hyperlink ref="A15" r:id="rId1" display="play_circle_outlineUtilizando Value Objects en Atributos Eloquent (FullName)11 minutos"/>
    <hyperlink ref="A16" r:id="rId1" display="play_circle_outlineValue Object Email + Cast + Tinker7 minutos"/>
    <hyperlink ref="A17" r:id="rId1" display="play_circle_outlineValue Object URL + Cast + Tinker7 minutos"/>
    <hyperlink ref="A18" r:id="rId1" display="play_circle_outlineValue Object Phone + Cast + Tinker6 minutos"/>
    <hyperlink ref="A19" r:id="rId1" display="play_circle_outlineValue Object Money + Cast + Tinker7 minutos"/>
    <hyperlink ref="A20" r:id="rId1" display="play_circle_outlineValue Object File + Cast + Tinker10 minutos"/>
    <hyperlink ref="A22" r:id="rId3" display="Introducciónkeyboard_arrow_down"/>
    <hyperlink ref="A23" r:id="rId3" display="file_downloadProyecto finalN/D"/>
    <hyperlink ref="A24" r:id="rId4" display="play_circle_outline¿Qué vamos a hacer?14 minutos"/>
    <hyperlink ref="A25" r:id="rId3" display="Preparando nuestro proyectokeyboard_arrow_down"/>
    <hyperlink ref="A26" r:id="rId3" display="play_circle_outlineCrear proyecto con el stack Inertia y registrar namespace Domain4 minutos"/>
    <hyperlink ref="A27" r:id="rId3" display="play_circle_outlineEstructura de directorios para aplicar DDD9 minutos"/>
    <hyperlink ref="A28" r:id="rId3" display="play_circle_outlineCrear modelos Post, Category, Tag y pasar modelo User a Shared3 minutos"/>
    <hyperlink ref="A29" r:id="rId3" display="play_circle_outlineMigraciones para Post, Category y Tag7 minutos"/>
    <hyperlink ref="A30" r:id="rId3" display="play_circle_outlineFactories, Seeds, y configurar modelos12 minutos"/>
    <hyperlink ref="A31" r:id="rId3" display="Shared Contextkeyboard_arrow_down"/>
    <hyperlink ref="A32" r:id="rId3" display="play_circle_outlineCrear y aplicar GlobalScope para usuarios3 minutos"/>
    <hyperlink ref="A33" r:id="rId3" display="play_circle_outlineEloquent Api Resource para User5 minutos"/>
    <hyperlink ref="A34" r:id="rId3" display="play_circle_outlineClase abstracta en Shared Context para crear filtros que realicen búsquedas3 minutos"/>
    <hyperlink ref="A35" r:id="rId3" display="play_circle_outlineReflectionClass para nuestro modelo de vista abstracto6 minutos"/>
    <hyperlink ref="A36" r:id="rId3" display="Blog Contextkeyboard_arrow_down"/>
    <hyperlink ref="A37" r:id="rId3" display="play_circle_outlineApi Resources para gestionar el Blog4 minutos"/>
    <hyperlink ref="A38" r:id="rId3" display="play_circle_outlineGenerando los filtros del Blog a través de nuestra clase abstracta6 minutos"/>
    <hyperlink ref="A39" r:id="rId3" display="play_circle_outlineEnum Filter, un enumerable con lógica para procesar los filtros5 minutos"/>
    <hyperlink ref="A40" r:id="rId3" display="play_circle_outlineFormRequest para Posts3 minutos"/>
    <hyperlink ref="A41" r:id="rId3" display="play_circle_outlineExtender la paginación de Laravel para generar enlaces en el cliente a demanda6 minutos"/>
    <hyperlink ref="A42" r:id="rId3" display="play_circle_outlineModelo de vista para el listado de Posts completo11 minutos"/>
    <hyperlink ref="A43" r:id="rId3" display="play_circle_outlineModelo de vista para el formulario de Posts6 minutos"/>
    <hyperlink ref="A44" r:id="rId3" display="play_circle_outlineAcción para crear y actualizar Posts de forma centralizada8 minutos"/>
    <hyperlink ref="A45" r:id="rId3" display="play_circle_outlinePostController con método Index para utilizar nuestro modelo de vista para el listado5 minutos"/>
    <hyperlink ref="A46" r:id="rId3" display="play_circle_outlineComponentes Vue Badge y Post4 minutos"/>
    <hyperlink ref="A47" r:id="rId3" display="play_circle_outlineComponente Vue Paginación6 minutos"/>
    <hyperlink ref="A48" r:id="rId3" display="play_circle_outlinePágina Vue para listar posts con filtrado y paginación server side15 minutos"/>
    <hyperlink ref="A49" r:id="rId3" display="play_circle_outlineOperaciones de CRUD en el PostController utilizando Actions y ViewModels5 minutos"/>
    <hyperlink ref="A50" r:id="rId3" display="play_circle_outlinePágina formulario posts reutilizable para alta y edición7 minutos"/>
    <hyperlink ref="A51" r:id="rId3" display="play_circle_outlineExportar el listado a Excel10 minutos"/>
    <hyperlink ref="A53" r:id="rId5" display="Contenido del cursokeyboard_arrow_down"/>
    <hyperlink ref="A54" r:id="rId5" display="file_downloadProyecto finalN/D"/>
    <hyperlink ref="A55" r:id="rId6" display="play_circle_outline¿Qué vamos a hacer?3 minutos"/>
    <hyperlink ref="A56" r:id="rId5" display="play_circle_outlineExplicación y crear proyecto3 minutos"/>
    <hyperlink ref="A57" r:id="rId5" display="play_circle_outlineShared Domain y ajustar el modelo User4 minutos"/>
    <hyperlink ref="A58" r:id="rId5" display="play_circle_outlineEstructura del dominio Shortener y seed + factory usuarios3 minutos"/>
    <hyperlink ref="A59" r:id="rId5" display="play_circle_outlineMigración y modelo ShortUrl5 minutos"/>
    <hyperlink ref="A60" r:id="rId5" display="play_circle_outlineEloquent Accessor ShortUrl3 minutos"/>
    <hyperlink ref="A61" r:id="rId5" display="play_circle_outlineControlador ShortUrl, rutas y ajustar navegación6 minutos"/>
    <hyperlink ref="A62" r:id="rId5" display="play_circle_outlineModelo de Vista y listado de URLs con formulario de alta6 minutos"/>
    <hyperlink ref="A63" r:id="rId5" display="play_circle_outlineRegla de validación para verificar la URL ingresada2 minutos"/>
    <hyperlink ref="A64" r:id="rId5" display="play_circle_outlineFormRequest para validar las URL3 minutos"/>
    <hyperlink ref="A65" r:id="rId5" display="play_circle_outlineGenerar códigos alfanuméricos únicos3 minutos"/>
    <hyperlink ref="A66" r:id="rId5" display="play_circle_outlineAcción para crear ShortUrl5 minutos"/>
    <hyperlink ref="A67" r:id="rId5" display="play_circle_outlineEliminar ShortUrl2 minutos"/>
    <hyperlink ref="A68" r:id="rId5" display="play_circle_outlineAcción para redireccionar y actualizar los Hits7 minutos"/>
    <hyperlink ref="A69" r:id="rId5" display="play_circle_outlineProbando las URL con diferentes agentes de usuario6 minutos"/>
    <hyperlink ref="A70" r:id="rId5" display="play_circle_outlineDespedida1 minutos"/>
  </hyperlinks>
  <pageMargins left="0.7" right="0.7" top="0.75" bottom="0.75" header="0.3" footer="0.3"/>
  <pageSetup paperSize="9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selection activeCell="C7" sqref="C7"/>
    </sheetView>
  </sheetViews>
  <sheetFormatPr defaultColWidth="8.72380952380952" defaultRowHeight="15" outlineLevelCol="2"/>
  <cols>
    <col min="1" max="1" width="59.2761904761905" customWidth="1"/>
    <col min="2" max="2" width="9.09523809523809" customWidth="1"/>
    <col min="3" max="3" width="128.095238095238" customWidth="1"/>
  </cols>
  <sheetData>
    <row r="1" s="2" customFormat="1" spans="1:3">
      <c r="A1" s="3" t="s">
        <v>220</v>
      </c>
      <c r="B1" s="4" t="s">
        <v>221</v>
      </c>
      <c r="C1" s="5" t="s">
        <v>77</v>
      </c>
    </row>
    <row r="2" spans="1:3">
      <c r="A2" s="6" t="s">
        <v>222</v>
      </c>
      <c r="B2" s="7">
        <v>0.666666666666667</v>
      </c>
      <c r="C2" s="8" t="s">
        <v>223</v>
      </c>
    </row>
    <row r="3" spans="1:3">
      <c r="A3" s="6" t="s">
        <v>224</v>
      </c>
      <c r="B3" s="7">
        <v>2.29166666666667</v>
      </c>
      <c r="C3" s="8" t="s">
        <v>225</v>
      </c>
    </row>
    <row r="4" spans="1:3">
      <c r="A4" s="6" t="s">
        <v>226</v>
      </c>
      <c r="B4" s="7">
        <v>1.85416666666667</v>
      </c>
      <c r="C4" s="8" t="s">
        <v>227</v>
      </c>
    </row>
    <row r="5" spans="1:3">
      <c r="A5" s="9" t="s">
        <v>228</v>
      </c>
      <c r="B5" s="7">
        <v>0.025</v>
      </c>
      <c r="C5" s="8" t="s">
        <v>229</v>
      </c>
    </row>
    <row r="6" spans="1:3">
      <c r="A6" s="6" t="s">
        <v>230</v>
      </c>
      <c r="B6" s="7">
        <v>1.27083333333333</v>
      </c>
      <c r="C6" s="8" t="s">
        <v>231</v>
      </c>
    </row>
    <row r="7" spans="1:3">
      <c r="A7" s="6" t="s">
        <v>232</v>
      </c>
      <c r="B7" s="7">
        <v>2.29166666666667</v>
      </c>
      <c r="C7" s="8" t="s">
        <v>233</v>
      </c>
    </row>
    <row r="8" spans="1:3">
      <c r="A8" s="6" t="s">
        <v>234</v>
      </c>
      <c r="B8" s="7">
        <v>0.0819444444444444</v>
      </c>
      <c r="C8" s="8" t="s">
        <v>235</v>
      </c>
    </row>
    <row r="9" spans="1:3">
      <c r="A9" s="6" t="s">
        <v>236</v>
      </c>
      <c r="B9" s="7">
        <v>2.33333333333333</v>
      </c>
      <c r="C9" s="8" t="s">
        <v>237</v>
      </c>
    </row>
    <row r="10" spans="1:3">
      <c r="A10" s="6" t="s">
        <v>238</v>
      </c>
      <c r="B10" s="7">
        <v>0.144444444444444</v>
      </c>
      <c r="C10" s="8" t="s">
        <v>239</v>
      </c>
    </row>
    <row r="11" spans="1:3">
      <c r="A11" s="10" t="s">
        <v>240</v>
      </c>
      <c r="B11" s="11">
        <v>0.6875</v>
      </c>
      <c r="C11" s="12" t="s">
        <v>241</v>
      </c>
    </row>
  </sheetData>
  <hyperlinks>
    <hyperlink ref="C2" r:id="rId1" display="https://www.udemy.com/course/javascript-moderno-para-principiantes/?couponCode=ST21MT121624"/>
    <hyperlink ref="C3" r:id="rId2" display="https://www.udemy.com/course/react-cero-experto/"/>
    <hyperlink ref="C4" r:id="rId3" display="https://www.udemy.com/course/universidad-javascript-angular-react-vue-typescript-html-css-bootstrap/?couponCode=ST21MT121624"/>
    <hyperlink ref="C5" r:id="rId4" display="https://www.udemy.com/course/curso-basico-de-angular-11-empieza-con-este-framework-js/"/>
    <hyperlink ref="C6" r:id="rId5" display="https://www.udemy.com/course/universidad-desarrollo-web-moderno-html-css-javascript-html5-css3/?couponCode=ST21MT121624"/>
    <hyperlink ref="C7" r:id="rId6" display="https://www.udemy.com/course/universidad-de-logica-de-programacion-python-java-javascript-c-pseint/?couponCode=ST21MT121624"/>
    <hyperlink ref="C8" r:id="rId7" display="https://www.udemy.com/course/crud-productos-stack-mean/"/>
    <hyperlink ref="C9" r:id="rId8" display="https://www.udemy.com/course/angular-de-cero-a-experto-angular-2-framework-javascript-html-css/?couponCode=ST21MT121624"/>
    <hyperlink ref="C10" r:id="rId9" display="https://www.udemy.com/course/html-hacia-angular/"/>
    <hyperlink ref="C11" r:id="rId10" display="https://www.udemy.com/course/angular-principiantes-leifer-mendez/?couponCode=ST21MT121624"/>
  </hyperlink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I15"/>
  <sheetViews>
    <sheetView workbookViewId="0">
      <selection activeCell="D18" sqref="D18"/>
    </sheetView>
  </sheetViews>
  <sheetFormatPr defaultColWidth="8.72380952380952" defaultRowHeight="15"/>
  <sheetData>
    <row r="2" spans="2:9">
      <c r="B2">
        <v>1</v>
      </c>
      <c r="C2">
        <v>1</v>
      </c>
      <c r="D2">
        <v>0</v>
      </c>
      <c r="E2">
        <v>1</v>
      </c>
      <c r="F2">
        <v>0</v>
      </c>
      <c r="G2">
        <v>1</v>
      </c>
      <c r="H2">
        <v>1</v>
      </c>
      <c r="I2">
        <v>0</v>
      </c>
    </row>
    <row r="3" spans="2:9">
      <c r="B3">
        <v>0</v>
      </c>
      <c r="C3">
        <v>1</v>
      </c>
      <c r="D3">
        <v>0</v>
      </c>
      <c r="E3">
        <v>1</v>
      </c>
      <c r="F3">
        <v>1</v>
      </c>
      <c r="G3">
        <v>0</v>
      </c>
      <c r="H3">
        <v>1</v>
      </c>
      <c r="I3">
        <v>1</v>
      </c>
    </row>
    <row r="5" spans="2:9">
      <c r="B5">
        <v>0</v>
      </c>
      <c r="C5">
        <v>1</v>
      </c>
      <c r="D5">
        <v>0</v>
      </c>
      <c r="E5">
        <v>1</v>
      </c>
      <c r="F5">
        <v>0</v>
      </c>
      <c r="G5">
        <v>0</v>
      </c>
      <c r="H5">
        <v>1</v>
      </c>
      <c r="I5">
        <v>0</v>
      </c>
    </row>
    <row r="9" spans="3:6">
      <c r="C9" t="s">
        <v>242</v>
      </c>
      <c r="D9" t="s">
        <v>243</v>
      </c>
      <c r="E9" t="s">
        <v>244</v>
      </c>
      <c r="F9" t="s">
        <v>245</v>
      </c>
    </row>
    <row r="10" spans="3:6">
      <c r="C10">
        <v>5</v>
      </c>
      <c r="D10">
        <f>C10*5</f>
        <v>25</v>
      </c>
      <c r="E10">
        <f>C10*20</f>
        <v>100</v>
      </c>
      <c r="F10">
        <f>E10*12</f>
        <v>1200</v>
      </c>
    </row>
    <row r="11" spans="5:5">
      <c r="E11">
        <f>D10*4</f>
        <v>100</v>
      </c>
    </row>
    <row r="14" spans="2:2">
      <c r="B14" s="1" t="s">
        <v>246</v>
      </c>
    </row>
    <row r="15" spans="2:2">
      <c r="B15" t="s">
        <v>247</v>
      </c>
    </row>
  </sheetData>
  <hyperlinks>
    <hyperlink ref="B14" r:id="rId1" display="https://www.udemy.com/course/programador-web-php8-laravel-symfony-proyectos-reales-tareas/learn/lecture/27293144#questions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Tiempos</vt:lpstr>
      <vt:lpstr>Resumen</vt:lpstr>
      <vt:lpstr>Tablas</vt:lpstr>
      <vt:lpstr>Avances</vt:lpstr>
      <vt:lpstr>Atajos VSC</vt:lpstr>
      <vt:lpstr>Ext VSC</vt:lpstr>
      <vt:lpstr>Laravel</vt:lpstr>
      <vt:lpstr>Vue.js</vt:lpstr>
      <vt:lpstr>Sheet1</vt:lpstr>
      <vt:lpstr>Cursos</vt:lpstr>
      <vt:lpstr>borrador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Bazo</dc:creator>
  <cp:lastModifiedBy>addentra</cp:lastModifiedBy>
  <dcterms:created xsi:type="dcterms:W3CDTF">2023-03-06T10:51:00Z</dcterms:created>
  <dcterms:modified xsi:type="dcterms:W3CDTF">2025-09-10T07:07:32Z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A6A5ECAAD31644E786EE39C7D736FD4E_12</vt:lpwstr>
  </property>
  <property fmtid="{D5CDD505-2E9C-101B-9397-08002B2CF9AE}" pid="3" name="KSOProductBuildVer">
    <vt:lpwstr>3082-12.2.0.22549</vt:lpwstr>
  </property>
</Properties>
</file>